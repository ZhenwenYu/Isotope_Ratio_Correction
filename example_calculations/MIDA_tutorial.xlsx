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navee\Dropbox\berkeley\manuscript\orbitrap_paper\"/>
    </mc:Choice>
  </mc:AlternateContent>
  <xr:revisionPtr revIDLastSave="0" documentId="13_ncr:1_{52EEE0CE-5329-4EBB-9362-6014F3CA3283}" xr6:coauthVersionLast="47" xr6:coauthVersionMax="47" xr10:uidLastSave="{00000000-0000-0000-0000-000000000000}"/>
  <bookViews>
    <workbookView xWindow="1620" yWindow="1660" windowWidth="30690" windowHeight="18550" activeTab="1" xr2:uid="{00000000-000D-0000-FFFF-FFFF00000000}"/>
  </bookViews>
  <sheets>
    <sheet name="calculation of n" sheetId="1" r:id="rId1"/>
    <sheet name="calculation of 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" i="2" l="1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4" i="2"/>
  <c r="F11" i="2"/>
  <c r="G11" i="2" s="1"/>
  <c r="F10" i="2"/>
  <c r="F9" i="2"/>
  <c r="F8" i="2"/>
  <c r="F7" i="2"/>
  <c r="E11" i="2"/>
  <c r="E10" i="2"/>
  <c r="E9" i="2"/>
  <c r="E8" i="2"/>
  <c r="E7" i="2"/>
  <c r="G10" i="2" l="1"/>
  <c r="G7" i="2"/>
  <c r="G8" i="2"/>
  <c r="G9" i="2"/>
  <c r="G11" i="1"/>
  <c r="G10" i="1"/>
  <c r="G9" i="1"/>
  <c r="G8" i="1"/>
  <c r="G7" i="1"/>
  <c r="F11" i="1"/>
  <c r="K11" i="1" s="1"/>
  <c r="F10" i="1"/>
  <c r="K10" i="1" s="1"/>
  <c r="F9" i="1"/>
  <c r="K9" i="1" s="1"/>
  <c r="F8" i="1"/>
  <c r="K8" i="1" s="1"/>
  <c r="F7" i="1"/>
  <c r="K7" i="1" s="1"/>
  <c r="H8" i="1" l="1"/>
  <c r="N8" i="1" s="1"/>
  <c r="H10" i="1"/>
  <c r="N10" i="1" s="1"/>
  <c r="H9" i="1"/>
  <c r="N9" i="1" s="1"/>
  <c r="H11" i="1"/>
  <c r="N11" i="1" s="1"/>
  <c r="H7" i="1"/>
  <c r="N7" i="1" s="1"/>
</calcChain>
</file>

<file path=xl/sharedStrings.xml><?xml version="1.0" encoding="utf-8"?>
<sst xmlns="http://schemas.openxmlformats.org/spreadsheetml/2006/main" count="60" uniqueCount="31">
  <si>
    <t>M0</t>
  </si>
  <si>
    <t>M1</t>
  </si>
  <si>
    <t>M2</t>
  </si>
  <si>
    <t>p</t>
  </si>
  <si>
    <t>EM1</t>
  </si>
  <si>
    <t>EM0</t>
  </si>
  <si>
    <t>EM2</t>
  </si>
  <si>
    <t>n=2</t>
  </si>
  <si>
    <t>EM2/EM1</t>
  </si>
  <si>
    <t>n=3</t>
  </si>
  <si>
    <t>C6H8O7</t>
  </si>
  <si>
    <t>EM1(n=2)</t>
  </si>
  <si>
    <t>EM1(n=3)</t>
  </si>
  <si>
    <t>EM2/EM1(n=2)</t>
  </si>
  <si>
    <t>EM2/EM1(n=3)</t>
  </si>
  <si>
    <r>
      <t>n</t>
    </r>
    <r>
      <rPr>
        <b/>
        <vertAlign val="subscript"/>
        <sz val="11"/>
        <color theme="1"/>
        <rFont val="Calibri"/>
        <family val="2"/>
        <scheme val="minor"/>
      </rPr>
      <t>EM1</t>
    </r>
  </si>
  <si>
    <r>
      <t>n</t>
    </r>
    <r>
      <rPr>
        <b/>
        <vertAlign val="subscript"/>
        <sz val="11"/>
        <color theme="1"/>
        <rFont val="Calibri"/>
        <family val="2"/>
        <scheme val="minor"/>
      </rPr>
      <t>EM1/EM2</t>
    </r>
  </si>
  <si>
    <t>replicate #</t>
  </si>
  <si>
    <t>2. Locate enrichements (EM) on the MIDA table with the (independently measured) p for each biological replicate</t>
  </si>
  <si>
    <t>3. Calculate enrichments by subtracting baseline natural abundance</t>
  </si>
  <si>
    <t>4. Calculate ratios among enrichments EM2/EM1</t>
  </si>
  <si>
    <t>5. Calculate n from a line equation in slope-intercept form (see formula in cells highlighted yellow)</t>
  </si>
  <si>
    <t>(using corrected data - full data available in fig5_mida_calculations.xlsx)</t>
  </si>
  <si>
    <t>MIDA p</t>
  </si>
  <si>
    <t>1. Generate MIDA tables (here of citrate C6H8O7) from two n values (e.g. 2 and 3) using PyMIDA (Ziari &amp; Hellerstein, 2023)</t>
  </si>
  <si>
    <t>1. Generate MIDA table (here of glutamine C5H10N2O3) from inferred or known n value, which in this case is 4</t>
  </si>
  <si>
    <t>2. calculate enrichments of mass isotopomers M1 and M2 (EM1 and EM2) by subtracting from baseline natural abundance</t>
  </si>
  <si>
    <t>3. Obtain EM2/EM1</t>
  </si>
  <si>
    <t>4. locate row on MIDA table where the labeling pattern (EM2/EM1) most closely resembles the p value generating them</t>
  </si>
  <si>
    <t>n=4</t>
  </si>
  <si>
    <t>C5H10N2O3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</si>
</sst>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0" borderId="1" xfId="0" applyFont="1" applyBorder="1"/>
    <xf numFmtId="0" fontId="0" fillId="0" borderId="1" xfId="0" applyBorder="1" applyAlignment="1">
      <alignment horizontal="left"/>
    </xf>
    <xf numFmtId="0" fontId="1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3" fillId="7" borderId="1" xfId="0" applyFont="1" applyFill="1" applyBorder="1"/>
    <xf numFmtId="0" fontId="0" fillId="0" borderId="0" xfId="0" applyFont="1"/>
    <xf numFmtId="164" fontId="4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3"/>
  <sheetViews>
    <sheetView workbookViewId="0">
      <selection activeCell="N6" sqref="N6"/>
    </sheetView>
  </sheetViews>
  <sheetFormatPr defaultRowHeight="14.5" x14ac:dyDescent="0.35"/>
  <cols>
    <col min="11" max="11" width="13" customWidth="1"/>
    <col min="12" max="12" width="13.90625" customWidth="1"/>
    <col min="13" max="13" width="13.08984375" customWidth="1"/>
    <col min="25" max="25" width="11.6328125" customWidth="1"/>
  </cols>
  <sheetData>
    <row r="1" spans="1:33" x14ac:dyDescent="0.35">
      <c r="P1" s="1" t="s">
        <v>10</v>
      </c>
      <c r="R1" s="1" t="s">
        <v>7</v>
      </c>
      <c r="AA1" s="1" t="s">
        <v>9</v>
      </c>
    </row>
    <row r="2" spans="1:33" x14ac:dyDescent="0.35">
      <c r="R2" t="s">
        <v>3</v>
      </c>
      <c r="S2" t="s">
        <v>0</v>
      </c>
      <c r="T2" t="s">
        <v>1</v>
      </c>
      <c r="U2" t="s">
        <v>2</v>
      </c>
      <c r="V2" t="s">
        <v>5</v>
      </c>
      <c r="W2" t="s">
        <v>4</v>
      </c>
      <c r="X2" t="s">
        <v>6</v>
      </c>
      <c r="AA2" t="s">
        <v>3</v>
      </c>
      <c r="AB2" t="s">
        <v>0</v>
      </c>
      <c r="AC2" t="s">
        <v>1</v>
      </c>
      <c r="AD2" t="s">
        <v>2</v>
      </c>
      <c r="AE2" t="s">
        <v>5</v>
      </c>
      <c r="AF2" t="s">
        <v>4</v>
      </c>
      <c r="AG2" t="s">
        <v>6</v>
      </c>
    </row>
    <row r="3" spans="1:33" x14ac:dyDescent="0.35">
      <c r="R3">
        <v>0</v>
      </c>
      <c r="S3">
        <v>0.92050565534123396</v>
      </c>
      <c r="T3">
        <v>6.4403332360592105E-2</v>
      </c>
      <c r="U3">
        <v>1.50910122981736E-2</v>
      </c>
      <c r="AA3">
        <v>0</v>
      </c>
      <c r="AB3">
        <v>0.92050565534123396</v>
      </c>
      <c r="AC3">
        <v>6.4403332360592105E-2</v>
      </c>
      <c r="AD3">
        <v>1.50910122981736E-2</v>
      </c>
    </row>
    <row r="4" spans="1:33" x14ac:dyDescent="0.35">
      <c r="A4" s="1" t="s">
        <v>22</v>
      </c>
      <c r="R4">
        <v>1E-3</v>
      </c>
      <c r="S4">
        <v>0.91869303656977697</v>
      </c>
      <c r="T4">
        <v>6.6116311743011594E-2</v>
      </c>
      <c r="U4">
        <v>1.51906516872114E-2</v>
      </c>
      <c r="V4">
        <v>-1.8126187714573301E-3</v>
      </c>
      <c r="W4">
        <v>1.71297938241951E-3</v>
      </c>
      <c r="X4" s="2">
        <v>9.9639389037809196E-5</v>
      </c>
      <c r="AA4">
        <v>1E-3</v>
      </c>
      <c r="AB4">
        <v>0.91778813472124499</v>
      </c>
      <c r="AC4">
        <v>6.69701816413696E-2</v>
      </c>
      <c r="AD4">
        <v>1.5241683637385201E-2</v>
      </c>
      <c r="AE4">
        <v>-2.7175206199890798E-3</v>
      </c>
      <c r="AF4">
        <v>2.5668492807775002E-3</v>
      </c>
      <c r="AG4">
        <v>1.5067133921160299E-4</v>
      </c>
    </row>
    <row r="5" spans="1:33" x14ac:dyDescent="0.35">
      <c r="R5">
        <v>2E-3</v>
      </c>
      <c r="S5">
        <v>0.91688223992028495</v>
      </c>
      <c r="T5">
        <v>6.7825846190768105E-2</v>
      </c>
      <c r="U5">
        <v>1.52919138889464E-2</v>
      </c>
      <c r="V5">
        <v>-3.6234154209488999E-3</v>
      </c>
      <c r="W5">
        <v>3.4225138301759899E-3</v>
      </c>
      <c r="X5">
        <v>2.00901590772809E-4</v>
      </c>
      <c r="AA5">
        <v>2E-3</v>
      </c>
      <c r="AB5">
        <v>0.91507616089711896</v>
      </c>
      <c r="AC5">
        <v>6.95266353354419E-2</v>
      </c>
      <c r="AD5">
        <v>1.5397203767438399E-2</v>
      </c>
      <c r="AE5">
        <v>-5.42949444411466E-3</v>
      </c>
      <c r="AF5">
        <v>5.1233029748498603E-3</v>
      </c>
      <c r="AG5">
        <v>3.0619146926484398E-4</v>
      </c>
    </row>
    <row r="6" spans="1:33" ht="16.5" x14ac:dyDescent="0.45">
      <c r="A6" s="3" t="s">
        <v>17</v>
      </c>
      <c r="B6" s="3" t="s">
        <v>3</v>
      </c>
      <c r="C6" s="3" t="s">
        <v>0</v>
      </c>
      <c r="D6" s="3" t="s">
        <v>1</v>
      </c>
      <c r="E6" s="3" t="s">
        <v>2</v>
      </c>
      <c r="F6" s="3" t="s">
        <v>4</v>
      </c>
      <c r="G6" s="3" t="s">
        <v>6</v>
      </c>
      <c r="H6" s="3" t="s">
        <v>8</v>
      </c>
      <c r="I6" s="3" t="s">
        <v>11</v>
      </c>
      <c r="J6" s="3" t="s">
        <v>12</v>
      </c>
      <c r="K6" s="3" t="s">
        <v>15</v>
      </c>
      <c r="L6" s="3" t="s">
        <v>13</v>
      </c>
      <c r="M6" s="3" t="s">
        <v>14</v>
      </c>
      <c r="N6" s="3" t="s">
        <v>16</v>
      </c>
      <c r="R6">
        <v>3.0000000000000001E-3</v>
      </c>
      <c r="S6">
        <v>0.91507326502540198</v>
      </c>
      <c r="T6">
        <v>6.9531935893813804E-2</v>
      </c>
      <c r="U6">
        <v>1.53947990807837E-2</v>
      </c>
      <c r="V6">
        <v>-5.4323903158318698E-3</v>
      </c>
      <c r="W6">
        <v>5.12860353322176E-3</v>
      </c>
      <c r="X6">
        <v>3.0378678261007398E-4</v>
      </c>
      <c r="AA6">
        <v>3.0000000000000001E-3</v>
      </c>
      <c r="AB6">
        <v>0.91236973109209096</v>
      </c>
      <c r="AC6">
        <v>7.2072710857053995E-2</v>
      </c>
      <c r="AD6">
        <v>1.55575580508548E-2</v>
      </c>
      <c r="AE6">
        <v>-8.1359242491431099E-3</v>
      </c>
      <c r="AF6">
        <v>7.66937849646187E-3</v>
      </c>
      <c r="AG6">
        <v>4.6654575268121598E-4</v>
      </c>
    </row>
    <row r="7" spans="1:33" x14ac:dyDescent="0.35">
      <c r="A7" s="4">
        <v>1</v>
      </c>
      <c r="B7" s="9">
        <v>3.3574678927720883E-2</v>
      </c>
      <c r="C7" s="6">
        <v>0.83190261175414992</v>
      </c>
      <c r="D7" s="6">
        <v>0.14548131931211811</v>
      </c>
      <c r="E7" s="6">
        <v>2.2616068933732102E-2</v>
      </c>
      <c r="F7" s="7">
        <f>D7-$T$3</f>
        <v>8.1077986951526002E-2</v>
      </c>
      <c r="G7" s="7">
        <f>E7-$U$3</f>
        <v>7.5250566355585021E-3</v>
      </c>
      <c r="H7" s="7">
        <f>G7/F7</f>
        <v>9.2812573652790595E-2</v>
      </c>
      <c r="I7" s="8">
        <v>5.4710348413474198E-2</v>
      </c>
      <c r="J7" s="8">
        <v>7.9313446399450704E-2</v>
      </c>
      <c r="K7" s="5">
        <f>F7*SLOPE($I$13:$J$13,I7:J7)+INTERCEPT($I$13:$J$13,I7:J7)</f>
        <v>3.0717202586877907</v>
      </c>
      <c r="L7" s="8">
        <v>7.5780049817521802E-2</v>
      </c>
      <c r="M7" s="8">
        <v>9.3967345933872889E-2</v>
      </c>
      <c r="N7" s="5">
        <f>H7*SLOPE($I$13:$J$13,L7:M7)+INTERCEPT($I$13:$J$13,L7:M7)</f>
        <v>2.9365066542220033</v>
      </c>
      <c r="R7">
        <v>4.0000000000000001E-3</v>
      </c>
      <c r="S7">
        <v>0.913266111518798</v>
      </c>
      <c r="T7">
        <v>7.1234581040095904E-2</v>
      </c>
      <c r="U7">
        <v>1.5499307441105401E-2</v>
      </c>
      <c r="V7">
        <v>-7.2395438224358497E-3</v>
      </c>
      <c r="W7">
        <v>6.8312486795038497E-3</v>
      </c>
      <c r="X7">
        <v>4.0829514293183898E-4</v>
      </c>
      <c r="AA7">
        <v>4.0000000000000001E-3</v>
      </c>
      <c r="AB7">
        <v>0.90966884248645297</v>
      </c>
      <c r="AC7">
        <v>7.4608425654191304E-2</v>
      </c>
      <c r="AD7">
        <v>1.5722731859354799E-2</v>
      </c>
      <c r="AE7">
        <v>-1.08368128547804E-2</v>
      </c>
      <c r="AF7">
        <v>1.02050932935991E-2</v>
      </c>
      <c r="AG7">
        <v>6.3171956118118701E-4</v>
      </c>
    </row>
    <row r="8" spans="1:33" x14ac:dyDescent="0.35">
      <c r="A8" s="4">
        <v>2</v>
      </c>
      <c r="B8" s="9">
        <v>4.5534384183177054E-2</v>
      </c>
      <c r="C8" s="6">
        <v>0.81864528883364007</v>
      </c>
      <c r="D8" s="6">
        <v>0.15666712032059019</v>
      </c>
      <c r="E8" s="6">
        <v>2.4687590845769561E-2</v>
      </c>
      <c r="F8" s="7">
        <f>D8-$T$3</f>
        <v>9.2263787959998081E-2</v>
      </c>
      <c r="G8" s="7">
        <f>E8-$U$3</f>
        <v>9.5965785475959613E-3</v>
      </c>
      <c r="H8" s="7">
        <f>G8/F8</f>
        <v>0.10401240573123506</v>
      </c>
      <c r="I8" s="8">
        <v>7.3675983381834106E-2</v>
      </c>
      <c r="J8" s="8">
        <v>0.10546819682172601</v>
      </c>
      <c r="K8" s="5">
        <f t="shared" ref="K8:K11" si="0">F8*SLOPE($I$13:$J$13,I8:J8)+INTERCEPT($I$13:$J$13,I8:J8)</f>
        <v>2.5846653179183985</v>
      </c>
      <c r="L8" s="8">
        <v>8.2700225702380017E-2</v>
      </c>
      <c r="M8" s="8">
        <v>0.1078467389923075</v>
      </c>
      <c r="N8" s="5">
        <f t="shared" ref="N8:N11" si="1">H8*SLOPE($I$13:$J$13,L8:M8)+INTERCEPT($I$13:$J$13,L8:M8)</f>
        <v>2.8475202817637424</v>
      </c>
      <c r="R8">
        <v>5.0000000000000001E-3</v>
      </c>
      <c r="S8">
        <v>0.91146077903517198</v>
      </c>
      <c r="T8">
        <v>7.2933781815556195E-2</v>
      </c>
      <c r="U8">
        <v>1.56054391492714E-2</v>
      </c>
      <c r="V8">
        <v>-9.0448763060618706E-3</v>
      </c>
      <c r="W8">
        <v>8.5304494549641001E-3</v>
      </c>
      <c r="X8">
        <v>5.1442685109782699E-4</v>
      </c>
      <c r="AA8">
        <v>5.0000000000000001E-3</v>
      </c>
      <c r="AB8">
        <v>0.90697349221781198</v>
      </c>
      <c r="AC8">
        <v>7.7133797208138594E-2</v>
      </c>
      <c r="AD8">
        <v>1.5892710574049201E-2</v>
      </c>
      <c r="AE8">
        <v>-1.3532163123422199E-2</v>
      </c>
      <c r="AF8">
        <v>1.27304648475465E-2</v>
      </c>
      <c r="AG8">
        <v>8.0169827587555796E-4</v>
      </c>
    </row>
    <row r="9" spans="1:33" x14ac:dyDescent="0.35">
      <c r="A9" s="4">
        <v>3</v>
      </c>
      <c r="B9" s="9">
        <v>4.3843577736610684E-2</v>
      </c>
      <c r="C9" s="6">
        <v>0.82185113400965726</v>
      </c>
      <c r="D9" s="6">
        <v>0.15435115778147021</v>
      </c>
      <c r="E9" s="6">
        <v>2.379770820887259E-2</v>
      </c>
      <c r="F9" s="7">
        <f>D9-$T$3</f>
        <v>8.9947825420878105E-2</v>
      </c>
      <c r="G9" s="7">
        <f>E9-$U$3</f>
        <v>8.7066959106989906E-3</v>
      </c>
      <c r="H9" s="7">
        <f>G9/F9</f>
        <v>9.6797180698467988E-2</v>
      </c>
      <c r="I9" s="8">
        <v>7.2114428005946904E-2</v>
      </c>
      <c r="J9" s="8">
        <v>0.10334189066834799</v>
      </c>
      <c r="K9" s="5">
        <f t="shared" si="0"/>
        <v>2.5710805776225683</v>
      </c>
      <c r="L9" s="8">
        <v>8.2116667333823126E-2</v>
      </c>
      <c r="M9" s="8">
        <v>0.10667584610400016</v>
      </c>
      <c r="N9" s="5">
        <f t="shared" si="1"/>
        <v>2.5977607599188892</v>
      </c>
      <c r="R9">
        <v>6.0000000000000001E-3</v>
      </c>
      <c r="S9">
        <v>0.90965726721024898</v>
      </c>
      <c r="T9">
        <v>7.4629538404130905E-2</v>
      </c>
      <c r="U9">
        <v>1.57131943856192E-2</v>
      </c>
      <c r="V9">
        <v>-1.0848388130984399E-2</v>
      </c>
      <c r="W9">
        <v>1.0226206043538799E-2</v>
      </c>
      <c r="X9">
        <v>6.2218208744556E-4</v>
      </c>
      <c r="AA9">
        <v>6.0000000000000001E-3</v>
      </c>
      <c r="AB9">
        <v>0.90428367738132998</v>
      </c>
      <c r="AC9">
        <v>7.9648843033040206E-2</v>
      </c>
      <c r="AD9">
        <v>1.6067479585628999E-2</v>
      </c>
      <c r="AE9">
        <v>-1.62219779599036E-2</v>
      </c>
      <c r="AF9">
        <v>1.5245510672448099E-2</v>
      </c>
      <c r="AG9">
        <v>9.7646728745543604E-4</v>
      </c>
    </row>
    <row r="10" spans="1:33" x14ac:dyDescent="0.35">
      <c r="A10" s="4">
        <v>4</v>
      </c>
      <c r="B10" s="9">
        <v>4.3799842630698568E-2</v>
      </c>
      <c r="C10" s="6">
        <v>0.82783365157904043</v>
      </c>
      <c r="D10" s="6">
        <v>0.14898961090159751</v>
      </c>
      <c r="E10" s="6">
        <v>2.3176737519362119E-2</v>
      </c>
      <c r="F10" s="7">
        <f>D10-$T$3</f>
        <v>8.4586278541005408E-2</v>
      </c>
      <c r="G10" s="7">
        <f>E10-$U$3</f>
        <v>8.0857252211885191E-3</v>
      </c>
      <c r="H10" s="7">
        <f>G10/F10</f>
        <v>9.5591452427697857E-2</v>
      </c>
      <c r="I10" s="8">
        <v>7.2114428005946904E-2</v>
      </c>
      <c r="J10" s="8">
        <v>0.10334189066834799</v>
      </c>
      <c r="K10" s="5">
        <f t="shared" si="0"/>
        <v>2.3993872531332823</v>
      </c>
      <c r="L10" s="8">
        <v>8.2116667333823126E-2</v>
      </c>
      <c r="M10" s="8">
        <v>0.10667584610400016</v>
      </c>
      <c r="N10" s="5">
        <f t="shared" si="1"/>
        <v>2.5486659476675007</v>
      </c>
      <c r="R10">
        <v>7.0000000000000001E-3</v>
      </c>
      <c r="S10">
        <v>0.90785557568078401</v>
      </c>
      <c r="T10">
        <v>7.6321850987751003E-2</v>
      </c>
      <c r="U10">
        <v>1.58225733314643E-2</v>
      </c>
      <c r="V10">
        <v>-1.26500796604495E-2</v>
      </c>
      <c r="W10">
        <v>1.19185186271588E-2</v>
      </c>
      <c r="X10">
        <v>7.3156103329070205E-4</v>
      </c>
      <c r="AA10">
        <v>7.0000000000000001E-3</v>
      </c>
      <c r="AB10">
        <v>0.90159939502998299</v>
      </c>
      <c r="AC10">
        <v>8.2153580675461399E-2</v>
      </c>
      <c r="AD10">
        <v>1.6247024294554602E-2</v>
      </c>
      <c r="AE10">
        <v>-1.8906260311250402E-2</v>
      </c>
      <c r="AF10">
        <v>1.77502483148693E-2</v>
      </c>
      <c r="AG10">
        <v>1.1560119963809599E-3</v>
      </c>
    </row>
    <row r="11" spans="1:33" x14ac:dyDescent="0.35">
      <c r="A11" s="4">
        <v>5</v>
      </c>
      <c r="B11" s="9">
        <v>3.8264149957200982E-2</v>
      </c>
      <c r="C11" s="6">
        <v>0.81545288033841778</v>
      </c>
      <c r="D11" s="6">
        <v>0.15979420052146739</v>
      </c>
      <c r="E11" s="6">
        <v>2.4752919140114869E-2</v>
      </c>
      <c r="F11" s="7">
        <f>D11-$T$3</f>
        <v>9.5390868160875289E-2</v>
      </c>
      <c r="G11" s="7">
        <f>E11-$U$3</f>
        <v>9.6619068419412698E-3</v>
      </c>
      <c r="H11" s="7">
        <f>G11/F11</f>
        <v>0.10128754490048887</v>
      </c>
      <c r="I11" s="8">
        <v>6.2672881820083806E-2</v>
      </c>
      <c r="J11" s="8">
        <v>9.0381355515290807E-2</v>
      </c>
      <c r="K11" s="5">
        <f t="shared" si="0"/>
        <v>3.1807935255001443</v>
      </c>
      <c r="L11" s="8">
        <v>7.8641716341871254E-2</v>
      </c>
      <c r="M11" s="8">
        <v>9.9705303995841876E-2</v>
      </c>
      <c r="N11" s="5">
        <f t="shared" si="1"/>
        <v>3.0751173508824712</v>
      </c>
      <c r="R11">
        <v>8.0000000000000002E-3</v>
      </c>
      <c r="S11">
        <v>0.90605570408455705</v>
      </c>
      <c r="T11">
        <v>7.8010719746341495E-2</v>
      </c>
      <c r="U11">
        <v>1.5933576169100998E-2</v>
      </c>
      <c r="V11">
        <v>-1.4449951256676899E-2</v>
      </c>
      <c r="W11">
        <v>1.36073873857494E-2</v>
      </c>
      <c r="X11">
        <v>8.4256387092737205E-4</v>
      </c>
      <c r="AA11">
        <v>8.0000000000000002E-3</v>
      </c>
      <c r="AB11">
        <v>0.89892064217480505</v>
      </c>
      <c r="AC11">
        <v>8.4648027713952301E-2</v>
      </c>
      <c r="AD11">
        <v>1.6431330111242301E-2</v>
      </c>
      <c r="AE11">
        <v>-2.1585013166428899E-2</v>
      </c>
      <c r="AF11">
        <v>2.0244695353360102E-2</v>
      </c>
      <c r="AG11">
        <v>1.3403178130686601E-3</v>
      </c>
    </row>
    <row r="12" spans="1:33" x14ac:dyDescent="0.35">
      <c r="R12">
        <v>8.9999999999999993E-3</v>
      </c>
      <c r="S12">
        <v>0.904257652060376</v>
      </c>
      <c r="T12">
        <v>7.9696144857821796E-2</v>
      </c>
      <c r="U12">
        <v>1.6046203081802098E-2</v>
      </c>
      <c r="V12">
        <v>-1.6248003280858202E-2</v>
      </c>
      <c r="W12">
        <v>1.5292812497229601E-2</v>
      </c>
      <c r="X12">
        <v>9.5519078362849702E-4</v>
      </c>
      <c r="AA12">
        <v>8.9999999999999993E-3</v>
      </c>
      <c r="AB12">
        <v>0.896247415785135</v>
      </c>
      <c r="AC12">
        <v>8.7132201758613095E-2</v>
      </c>
      <c r="AD12">
        <v>1.6620382456251099E-2</v>
      </c>
      <c r="AE12">
        <v>-2.4258239556098599E-2</v>
      </c>
      <c r="AF12">
        <v>2.2728869398021E-2</v>
      </c>
      <c r="AG12">
        <v>1.52937015807752E-3</v>
      </c>
    </row>
    <row r="13" spans="1:33" x14ac:dyDescent="0.35">
      <c r="I13">
        <v>2</v>
      </c>
      <c r="J13">
        <v>3</v>
      </c>
      <c r="R13">
        <v>0.01</v>
      </c>
      <c r="S13">
        <v>0.90246141924807499</v>
      </c>
      <c r="T13">
        <v>8.1378126498105205E-2</v>
      </c>
      <c r="U13">
        <v>1.6160454253819699E-2</v>
      </c>
      <c r="V13">
        <v>-1.8044236093159301E-2</v>
      </c>
      <c r="W13">
        <v>1.69747941375131E-2</v>
      </c>
      <c r="X13">
        <v>1.06944195564611E-3</v>
      </c>
      <c r="AA13">
        <v>0.01</v>
      </c>
      <c r="AB13">
        <v>0.89357971278887005</v>
      </c>
      <c r="AC13">
        <v>8.96061204506617E-2</v>
      </c>
      <c r="AD13">
        <v>1.6814166760467299E-2</v>
      </c>
      <c r="AE13">
        <v>-2.6925942552363399E-2</v>
      </c>
      <c r="AF13">
        <v>2.5202788090069601E-2</v>
      </c>
      <c r="AG13">
        <v>1.72315446229372E-3</v>
      </c>
    </row>
    <row r="14" spans="1:33" x14ac:dyDescent="0.35">
      <c r="R14">
        <v>1.0999999999999999E-2</v>
      </c>
      <c r="S14">
        <v>0.90066700528851495</v>
      </c>
      <c r="T14">
        <v>8.3056664841098998E-2</v>
      </c>
      <c r="U14">
        <v>1.6276329870385301E-2</v>
      </c>
      <c r="V14">
        <v>-1.98386500527187E-2</v>
      </c>
      <c r="W14">
        <v>1.86533324805069E-2</v>
      </c>
      <c r="X14">
        <v>1.18531757221172E-3</v>
      </c>
      <c r="AA14">
        <v>1.0999999999999999E-2</v>
      </c>
      <c r="AB14">
        <v>0.89091753007271002</v>
      </c>
      <c r="AC14">
        <v>9.2069801462001596E-2</v>
      </c>
      <c r="AD14">
        <v>1.7012668465287699E-2</v>
      </c>
      <c r="AE14">
        <v>-2.9588125268523599E-2</v>
      </c>
      <c r="AF14">
        <v>2.7666469101409401E-2</v>
      </c>
      <c r="AG14">
        <v>1.9216561671140801E-3</v>
      </c>
    </row>
    <row r="15" spans="1:33" x14ac:dyDescent="0.35">
      <c r="A15" s="1" t="s">
        <v>24</v>
      </c>
      <c r="R15">
        <v>1.2E-2</v>
      </c>
      <c r="S15">
        <v>0.89887440982358502</v>
      </c>
      <c r="T15">
        <v>8.4731760058704406E-2</v>
      </c>
      <c r="U15">
        <v>1.6393830117710201E-2</v>
      </c>
      <c r="V15">
        <v>-2.16312455176489E-2</v>
      </c>
      <c r="W15">
        <v>2.03284276981123E-2</v>
      </c>
      <c r="X15">
        <v>1.30281781953661E-3</v>
      </c>
      <c r="AA15">
        <v>1.2E-2</v>
      </c>
      <c r="AB15">
        <v>0.88826086448240504</v>
      </c>
      <c r="AC15">
        <v>9.4523262494793106E-2</v>
      </c>
      <c r="AD15">
        <v>1.7215873022801802E-2</v>
      </c>
      <c r="AE15">
        <v>-3.22447908588291E-2</v>
      </c>
      <c r="AF15">
        <v>3.01199301342009E-2</v>
      </c>
      <c r="AG15">
        <v>2.12486072462819E-3</v>
      </c>
    </row>
    <row r="16" spans="1:33" x14ac:dyDescent="0.35">
      <c r="A16" s="1" t="s">
        <v>18</v>
      </c>
      <c r="R16">
        <v>1.2999999999999999E-2</v>
      </c>
      <c r="S16">
        <v>0.89708363249619805</v>
      </c>
      <c r="T16">
        <v>8.6403412320815901E-2</v>
      </c>
      <c r="U16">
        <v>1.6512955182985799E-2</v>
      </c>
      <c r="V16">
        <v>-2.3422022845036E-2</v>
      </c>
      <c r="W16">
        <v>2.2000079960223799E-2</v>
      </c>
      <c r="X16">
        <v>1.4219428848121899E-3</v>
      </c>
      <c r="AA16">
        <v>1.2999999999999999E-2</v>
      </c>
      <c r="AB16">
        <v>0.88560971282300105</v>
      </c>
      <c r="AC16">
        <v>9.6966521281025495E-2</v>
      </c>
      <c r="AD16">
        <v>1.74237658959728E-2</v>
      </c>
      <c r="AE16">
        <v>-3.4895942518232803E-2</v>
      </c>
      <c r="AF16">
        <v>3.2563188920433403E-2</v>
      </c>
      <c r="AG16">
        <v>2.3327535977992401E-3</v>
      </c>
    </row>
    <row r="17" spans="1:33" x14ac:dyDescent="0.35">
      <c r="A17" s="1" t="s">
        <v>19</v>
      </c>
      <c r="R17">
        <v>1.4E-2</v>
      </c>
      <c r="S17">
        <v>0.89529467295029397</v>
      </c>
      <c r="T17">
        <v>8.80716217953217E-2</v>
      </c>
      <c r="U17">
        <v>1.6633705254383901E-2</v>
      </c>
      <c r="V17">
        <v>-2.52109823909401E-2</v>
      </c>
      <c r="W17">
        <v>2.3668289434729602E-2</v>
      </c>
      <c r="X17">
        <v>1.5426929562103501E-3</v>
      </c>
      <c r="AA17">
        <v>1.4E-2</v>
      </c>
      <c r="AB17">
        <v>0.88296407185909098</v>
      </c>
      <c r="AC17">
        <v>9.9399595582091299E-2</v>
      </c>
      <c r="AD17">
        <v>1.7636332558817101E-2</v>
      </c>
      <c r="AE17">
        <v>-3.7541583482142697E-2</v>
      </c>
      <c r="AF17">
        <v>3.4996263221499103E-2</v>
      </c>
      <c r="AG17">
        <v>2.54532026064354E-3</v>
      </c>
    </row>
    <row r="18" spans="1:33" x14ac:dyDescent="0.35">
      <c r="A18" s="1" t="s">
        <v>20</v>
      </c>
      <c r="R18">
        <v>1.4999999999999999E-2</v>
      </c>
      <c r="S18">
        <v>0.893507530830839</v>
      </c>
      <c r="T18">
        <v>8.9736388648103405E-2</v>
      </c>
      <c r="U18">
        <v>1.6756080521057402E-2</v>
      </c>
      <c r="V18">
        <v>-2.69981245103952E-2</v>
      </c>
      <c r="W18">
        <v>2.5333056287511299E-2</v>
      </c>
      <c r="X18">
        <v>1.6650682228837601E-3</v>
      </c>
      <c r="AA18">
        <v>1.4999999999999999E-2</v>
      </c>
      <c r="AB18">
        <v>0.88032393831505595</v>
      </c>
      <c r="AC18">
        <v>0.101822503188361</v>
      </c>
      <c r="AD18">
        <v>1.7853558496582399E-2</v>
      </c>
      <c r="AE18">
        <v>-4.0181717026178197E-2</v>
      </c>
      <c r="AF18">
        <v>3.7419170827769403E-2</v>
      </c>
      <c r="AG18">
        <v>2.7625461984087702E-3</v>
      </c>
    </row>
    <row r="19" spans="1:33" x14ac:dyDescent="0.35">
      <c r="A19" s="1" t="s">
        <v>21</v>
      </c>
      <c r="R19">
        <v>1.6E-2</v>
      </c>
      <c r="S19">
        <v>0.891722205783824</v>
      </c>
      <c r="T19">
        <v>9.1397713043035594E-2</v>
      </c>
      <c r="U19">
        <v>1.68800811731399E-2</v>
      </c>
      <c r="V19">
        <v>-2.8783449557409801E-2</v>
      </c>
      <c r="W19">
        <v>2.6994380682443499E-2</v>
      </c>
      <c r="X19">
        <v>1.78906887496627E-3</v>
      </c>
      <c r="AA19">
        <v>1.6E-2</v>
      </c>
      <c r="AB19">
        <v>0.87768930887531105</v>
      </c>
      <c r="AC19">
        <v>0.10423526191876301</v>
      </c>
      <c r="AD19">
        <v>1.80754292059245E-2</v>
      </c>
      <c r="AE19">
        <v>-4.2816346465922799E-2</v>
      </c>
      <c r="AF19">
        <v>3.9831929558171802E-2</v>
      </c>
      <c r="AG19">
        <v>2.9844169077508798E-3</v>
      </c>
    </row>
    <row r="20" spans="1:33" x14ac:dyDescent="0.35">
      <c r="R20">
        <v>1.7000000000000001E-2</v>
      </c>
      <c r="S20">
        <v>0.88993869745626697</v>
      </c>
      <c r="T20">
        <v>9.3055595141985997E-2</v>
      </c>
      <c r="U20">
        <v>1.7005707401746801E-2</v>
      </c>
      <c r="V20">
        <v>-3.0566957884967199E-2</v>
      </c>
      <c r="W20">
        <v>2.8652262781393899E-2</v>
      </c>
      <c r="X20">
        <v>1.9146951035731699E-3</v>
      </c>
      <c r="AA20">
        <v>1.7000000000000001E-2</v>
      </c>
      <c r="AB20">
        <v>0.875060180184554</v>
      </c>
      <c r="AC20">
        <v>0.106637889620361</v>
      </c>
      <c r="AD20">
        <v>1.8301930195083398E-2</v>
      </c>
      <c r="AE20">
        <v>-4.5445475156679502E-2</v>
      </c>
      <c r="AF20">
        <v>4.2234557259769698E-2</v>
      </c>
      <c r="AG20">
        <v>3.2109178969097498E-3</v>
      </c>
    </row>
    <row r="21" spans="1:33" x14ac:dyDescent="0.35">
      <c r="R21">
        <v>1.7999999999999999E-2</v>
      </c>
      <c r="S21">
        <v>0.88815700549620902</v>
      </c>
      <c r="T21">
        <v>9.4710035104815196E-2</v>
      </c>
      <c r="U21">
        <v>1.71329593989752E-2</v>
      </c>
      <c r="V21">
        <v>-3.2348649845024703E-2</v>
      </c>
      <c r="W21">
        <v>3.0306702744223001E-2</v>
      </c>
      <c r="X21">
        <v>2.0419471008015899E-3</v>
      </c>
      <c r="AA21">
        <v>1.7999999999999999E-2</v>
      </c>
      <c r="AB21">
        <v>0.87243654884800703</v>
      </c>
      <c r="AC21">
        <v>0.109030404167935</v>
      </c>
      <c r="AD21">
        <v>1.8533046984057101E-2</v>
      </c>
      <c r="AE21">
        <v>-4.8069106493227001E-2</v>
      </c>
      <c r="AF21">
        <v>4.4627071807343301E-2</v>
      </c>
      <c r="AG21">
        <v>3.4420346858835501E-3</v>
      </c>
    </row>
    <row r="22" spans="1:33" x14ac:dyDescent="0.35">
      <c r="R22">
        <v>1.9E-2</v>
      </c>
      <c r="S22">
        <v>0.88637712955271897</v>
      </c>
      <c r="T22">
        <v>9.6361033089376297E-2</v>
      </c>
      <c r="U22">
        <v>1.72618373579045E-2</v>
      </c>
      <c r="V22">
        <v>-3.41285257885151E-2</v>
      </c>
      <c r="W22">
        <v>3.1957700728784198E-2</v>
      </c>
      <c r="X22">
        <v>2.1708250597308599E-3</v>
      </c>
      <c r="AA22">
        <v>1.9E-2</v>
      </c>
      <c r="AB22">
        <v>0.86981841143165906</v>
      </c>
      <c r="AC22">
        <v>0.111412823463564</v>
      </c>
      <c r="AD22">
        <v>1.87687651047754E-2</v>
      </c>
      <c r="AE22">
        <v>-5.0687243909574499E-2</v>
      </c>
      <c r="AF22">
        <v>4.70094911029727E-2</v>
      </c>
      <c r="AG22">
        <v>3.6777528066017501E-3</v>
      </c>
    </row>
    <row r="23" spans="1:33" x14ac:dyDescent="0.35">
      <c r="R23">
        <v>0.02</v>
      </c>
      <c r="S23">
        <v>0.88459906927588805</v>
      </c>
      <c r="T23">
        <v>9.8008589251515205E-2</v>
      </c>
      <c r="U23">
        <v>1.7392341472596402E-2</v>
      </c>
      <c r="V23">
        <v>-3.5906586065345997E-2</v>
      </c>
      <c r="W23">
        <v>3.3605256890923099E-2</v>
      </c>
      <c r="X23">
        <v>2.3013291744227999E-3</v>
      </c>
      <c r="AA23">
        <v>0.02</v>
      </c>
      <c r="AB23">
        <v>0.86720576446251496</v>
      </c>
      <c r="AC23">
        <v>0.113785165436214</v>
      </c>
      <c r="AD23">
        <v>1.9009070101270599E-2</v>
      </c>
      <c r="AE23">
        <v>-5.3299890878719003E-2</v>
      </c>
      <c r="AF23">
        <v>4.9381833075622002E-2</v>
      </c>
      <c r="AG23">
        <v>3.9180578030969899E-3</v>
      </c>
    </row>
    <row r="24" spans="1:33" x14ac:dyDescent="0.35">
      <c r="R24">
        <v>2.1000000000000001E-2</v>
      </c>
      <c r="S24">
        <v>0.88282282431683401</v>
      </c>
      <c r="T24">
        <v>9.9652703745070098E-2</v>
      </c>
      <c r="U24">
        <v>1.7524471938095702E-2</v>
      </c>
      <c r="V24">
        <v>-3.76828310244001E-2</v>
      </c>
      <c r="W24">
        <v>3.5249371384478E-2</v>
      </c>
      <c r="X24">
        <v>2.4334596399220999E-3</v>
      </c>
      <c r="AA24">
        <v>2.1000000000000001E-2</v>
      </c>
      <c r="AB24">
        <v>0.86459860442883196</v>
      </c>
      <c r="AC24">
        <v>0.116147448041318</v>
      </c>
      <c r="AD24">
        <v>1.9253947529849099E-2</v>
      </c>
      <c r="AE24">
        <v>-5.5907050912401599E-2</v>
      </c>
      <c r="AF24">
        <v>5.1744115680726198E-2</v>
      </c>
      <c r="AG24">
        <v>4.16293523167547E-3</v>
      </c>
    </row>
    <row r="25" spans="1:33" x14ac:dyDescent="0.35">
      <c r="R25">
        <v>2.1999999999999999E-2</v>
      </c>
      <c r="S25">
        <v>0.88104839432769799</v>
      </c>
      <c r="T25">
        <v>0.101293376721871</v>
      </c>
      <c r="U25">
        <v>1.7658228950430298E-2</v>
      </c>
      <c r="V25">
        <v>-3.9457261013535902E-2</v>
      </c>
      <c r="W25">
        <v>3.6890044361279101E-2</v>
      </c>
      <c r="X25">
        <v>2.5672166522566599E-3</v>
      </c>
      <c r="AA25">
        <v>2.1999999999999999E-2</v>
      </c>
      <c r="AB25">
        <v>0.86199692778036896</v>
      </c>
      <c r="AC25">
        <v>0.11849968926037099</v>
      </c>
      <c r="AD25">
        <v>1.95033829592599E-2</v>
      </c>
      <c r="AE25">
        <v>-5.8508727560865302E-2</v>
      </c>
      <c r="AF25">
        <v>5.4096356899779E-2</v>
      </c>
      <c r="AG25">
        <v>4.41237066108626E-3</v>
      </c>
    </row>
    <row r="26" spans="1:33" x14ac:dyDescent="0.35">
      <c r="R26">
        <v>2.3E-2</v>
      </c>
      <c r="S26">
        <v>0.87927577896164699</v>
      </c>
      <c r="T26">
        <v>0.102930608331741</v>
      </c>
      <c r="U26">
        <v>1.7793612706611599E-2</v>
      </c>
      <c r="V26">
        <v>-4.1229876379586999E-2</v>
      </c>
      <c r="W26">
        <v>3.8527275971148897E-2</v>
      </c>
      <c r="X26">
        <v>2.7026004084379899E-3</v>
      </c>
      <c r="AA26">
        <v>2.3E-2</v>
      </c>
      <c r="AB26">
        <v>0.85940073092862201</v>
      </c>
      <c r="AC26">
        <v>0.120841907100515</v>
      </c>
      <c r="AD26">
        <v>1.9757361970862801E-2</v>
      </c>
      <c r="AE26">
        <v>-6.1104924412612102E-2</v>
      </c>
      <c r="AF26">
        <v>5.6438574739922899E-2</v>
      </c>
      <c r="AG26">
        <v>4.6663496726891797E-3</v>
      </c>
    </row>
    <row r="27" spans="1:33" x14ac:dyDescent="0.35">
      <c r="R27">
        <v>2.4E-2</v>
      </c>
      <c r="S27">
        <v>0.87750497787287096</v>
      </c>
      <c r="T27">
        <v>0.104564398722493</v>
      </c>
      <c r="U27">
        <v>1.7930623404634999E-2</v>
      </c>
      <c r="V27">
        <v>-4.3000677468363203E-2</v>
      </c>
      <c r="W27">
        <v>4.0161066361901601E-2</v>
      </c>
      <c r="X27">
        <v>2.83961110646145E-3</v>
      </c>
      <c r="AA27">
        <v>2.4E-2</v>
      </c>
      <c r="AB27">
        <v>0.85681001024707104</v>
      </c>
      <c r="AC27">
        <v>0.12317411959413301</v>
      </c>
      <c r="AD27">
        <v>2.00158701587951E-2</v>
      </c>
      <c r="AE27">
        <v>-6.3695645094162506E-2</v>
      </c>
      <c r="AF27">
        <v>5.87707872335409E-2</v>
      </c>
      <c r="AG27">
        <v>4.9248578606214902E-3</v>
      </c>
    </row>
    <row r="28" spans="1:33" x14ac:dyDescent="0.35">
      <c r="R28">
        <v>2.5000000000000001E-2</v>
      </c>
      <c r="S28">
        <v>0.87573599071658403</v>
      </c>
      <c r="T28">
        <v>0.10619474803993501</v>
      </c>
      <c r="U28">
        <v>1.8069261243480302E-2</v>
      </c>
      <c r="V28">
        <v>-4.4769664624649798E-2</v>
      </c>
      <c r="W28">
        <v>4.1791415679342997E-2</v>
      </c>
      <c r="X28">
        <v>2.9782489453067302E-3</v>
      </c>
      <c r="AA28">
        <v>2.5000000000000001E-2</v>
      </c>
      <c r="AB28">
        <v>0.85422476207142095</v>
      </c>
      <c r="AC28">
        <v>0.12549634479844199</v>
      </c>
      <c r="AD28">
        <v>2.02788931301369E-2</v>
      </c>
      <c r="AE28">
        <v>-6.6280893269813304E-2</v>
      </c>
      <c r="AF28">
        <v>6.1093012437849897E-2</v>
      </c>
      <c r="AG28">
        <v>5.18788083196334E-3</v>
      </c>
    </row>
    <row r="29" spans="1:33" x14ac:dyDescent="0.35">
      <c r="R29">
        <v>2.5999999999999999E-2</v>
      </c>
      <c r="S29">
        <v>0.87396881714902497</v>
      </c>
      <c r="T29">
        <v>0.107821656427862</v>
      </c>
      <c r="U29">
        <v>1.8209526423111699E-2</v>
      </c>
      <c r="V29">
        <v>-4.6536838192208697E-2</v>
      </c>
      <c r="W29">
        <v>4.3418324067270503E-2</v>
      </c>
      <c r="X29">
        <v>3.1185141249381E-3</v>
      </c>
      <c r="AA29">
        <v>2.5999999999999999E-2</v>
      </c>
      <c r="AB29">
        <v>0.85164498269983602</v>
      </c>
      <c r="AC29">
        <v>0.12780860079508699</v>
      </c>
      <c r="AD29">
        <v>2.05464165050754E-2</v>
      </c>
      <c r="AE29">
        <v>-6.8860672641397599E-2</v>
      </c>
      <c r="AF29">
        <v>6.3405268434495704E-2</v>
      </c>
      <c r="AG29">
        <v>5.4554042069018104E-3</v>
      </c>
    </row>
    <row r="30" spans="1:33" x14ac:dyDescent="0.35">
      <c r="R30">
        <v>2.7E-2</v>
      </c>
      <c r="S30">
        <v>0.87220345682745604</v>
      </c>
      <c r="T30">
        <v>0.109445124028064</v>
      </c>
      <c r="U30">
        <v>1.8351419144478499E-2</v>
      </c>
      <c r="V30">
        <v>-4.8302198513777699E-2</v>
      </c>
      <c r="W30">
        <v>4.50417916674727E-2</v>
      </c>
      <c r="X30">
        <v>3.2604068463048799E-3</v>
      </c>
      <c r="AA30">
        <v>2.7E-2</v>
      </c>
      <c r="AB30">
        <v>0.84907066839319001</v>
      </c>
      <c r="AC30">
        <v>0.13011090568974201</v>
      </c>
      <c r="AD30">
        <v>2.0818425917067399E-2</v>
      </c>
      <c r="AE30">
        <v>-7.1434986948044094E-2</v>
      </c>
      <c r="AF30">
        <v>6.5707573329150198E-2</v>
      </c>
      <c r="AG30">
        <v>5.72741361889385E-3</v>
      </c>
    </row>
    <row r="31" spans="1:33" x14ac:dyDescent="0.35">
      <c r="R31">
        <v>2.8000000000000001E-2</v>
      </c>
      <c r="S31">
        <v>0.87043990941016303</v>
      </c>
      <c r="T31">
        <v>0.11106515098032101</v>
      </c>
      <c r="U31">
        <v>1.8494939609515301E-2</v>
      </c>
      <c r="V31">
        <v>-5.0065745931071097E-2</v>
      </c>
      <c r="W31">
        <v>4.66618186197294E-2</v>
      </c>
      <c r="X31">
        <v>3.4039273113416601E-3</v>
      </c>
      <c r="AA31">
        <v>2.8000000000000001E-2</v>
      </c>
      <c r="AB31">
        <v>0.84650181537529501</v>
      </c>
      <c r="AC31">
        <v>0.13240327761170201</v>
      </c>
      <c r="AD31">
        <v>2.1094907013001499E-2</v>
      </c>
      <c r="AE31">
        <v>-7.4003839965938498E-2</v>
      </c>
      <c r="AF31">
        <v>6.79999452511105E-2</v>
      </c>
      <c r="AG31">
        <v>6.0038947148278697E-3</v>
      </c>
    </row>
    <row r="32" spans="1:33" x14ac:dyDescent="0.35">
      <c r="R32">
        <v>2.9000000000000001E-2</v>
      </c>
      <c r="S32">
        <v>0.86867817455645402</v>
      </c>
      <c r="T32">
        <v>0.11268173742240301</v>
      </c>
      <c r="U32">
        <v>1.8640088021142399E-2</v>
      </c>
      <c r="V32">
        <v>-5.1827480784780097E-2</v>
      </c>
      <c r="W32">
        <v>4.8278405061811303E-2</v>
      </c>
      <c r="X32">
        <v>3.54907572296878E-3</v>
      </c>
      <c r="AA32">
        <v>2.9000000000000001E-2</v>
      </c>
      <c r="AB32">
        <v>0.84393841983315099</v>
      </c>
      <c r="AC32">
        <v>0.13468573471349099</v>
      </c>
      <c r="AD32">
        <v>2.13758454533577E-2</v>
      </c>
      <c r="AE32">
        <v>-7.6567235508083295E-2</v>
      </c>
      <c r="AF32">
        <v>7.0282402352898898E-2</v>
      </c>
      <c r="AG32">
        <v>6.2848331551841399E-3</v>
      </c>
    </row>
    <row r="33" spans="18:33" x14ac:dyDescent="0.35">
      <c r="R33">
        <v>0.03</v>
      </c>
      <c r="S33">
        <v>0.86691825192666105</v>
      </c>
      <c r="T33">
        <v>0.114294883490071</v>
      </c>
      <c r="U33">
        <v>1.87868645832662E-2</v>
      </c>
      <c r="V33">
        <v>-5.3587403414572403E-2</v>
      </c>
      <c r="W33">
        <v>4.98915511294796E-2</v>
      </c>
      <c r="X33">
        <v>3.69585228509262E-3</v>
      </c>
      <c r="AA33">
        <v>0.03</v>
      </c>
      <c r="AB33">
        <v>0.84138047791717496</v>
      </c>
      <c r="AC33">
        <v>0.13695829517045699</v>
      </c>
      <c r="AD33">
        <v>2.1661226912367399E-2</v>
      </c>
      <c r="AE33">
        <v>-7.9125177424059306E-2</v>
      </c>
      <c r="AF33">
        <v>7.2554962809865495E-2</v>
      </c>
      <c r="AG33">
        <v>6.5702146141938004E-3</v>
      </c>
    </row>
    <row r="34" spans="18:33" x14ac:dyDescent="0.35">
      <c r="R34">
        <v>3.1E-2</v>
      </c>
      <c r="S34">
        <v>0.86516014118214102</v>
      </c>
      <c r="T34">
        <v>0.11590458931707801</v>
      </c>
      <c r="U34">
        <v>1.8935269500779599E-2</v>
      </c>
      <c r="V34">
        <v>-5.5345514159092599E-2</v>
      </c>
      <c r="W34">
        <v>5.1501256956486399E-2</v>
      </c>
      <c r="X34">
        <v>3.8442572026060199E-3</v>
      </c>
      <c r="AA34">
        <v>3.1E-2</v>
      </c>
      <c r="AB34">
        <v>0.83882798574144501</v>
      </c>
      <c r="AC34">
        <v>0.13922097718038401</v>
      </c>
      <c r="AD34">
        <v>2.19510370781704E-2</v>
      </c>
      <c r="AE34">
        <v>-8.1677669599789102E-2</v>
      </c>
      <c r="AF34">
        <v>7.4817644819792195E-2</v>
      </c>
      <c r="AG34">
        <v>6.8600247799967999E-3</v>
      </c>
    </row>
    <row r="35" spans="18:33" x14ac:dyDescent="0.35">
      <c r="R35">
        <v>3.2000000000000001E-2</v>
      </c>
      <c r="S35">
        <v>0.86340384198527098</v>
      </c>
      <c r="T35">
        <v>0.11751085503516601</v>
      </c>
      <c r="U35">
        <v>1.9085302979562201E-2</v>
      </c>
      <c r="V35">
        <v>-5.7101813355962497E-2</v>
      </c>
      <c r="W35">
        <v>5.3107522674573901E-2</v>
      </c>
      <c r="X35">
        <v>3.9942906813885699E-3</v>
      </c>
      <c r="AA35">
        <v>3.2000000000000001E-2</v>
      </c>
      <c r="AB35">
        <v>0.836280939383936</v>
      </c>
      <c r="AC35">
        <v>0.14147379896309101</v>
      </c>
      <c r="AD35">
        <v>2.2245261652972099E-2</v>
      </c>
      <c r="AE35">
        <v>-8.4224715957297497E-2</v>
      </c>
      <c r="AF35">
        <v>7.7070466602498902E-2</v>
      </c>
      <c r="AG35">
        <v>7.1542493547984698E-3</v>
      </c>
    </row>
    <row r="36" spans="18:33" x14ac:dyDescent="0.35">
      <c r="R36">
        <v>3.3000000000000002E-2</v>
      </c>
      <c r="S36">
        <v>0.86164935399945197</v>
      </c>
      <c r="T36">
        <v>0.11911368077406601</v>
      </c>
      <c r="U36">
        <v>1.92369652264806E-2</v>
      </c>
      <c r="V36">
        <v>-5.8856301341781402E-2</v>
      </c>
      <c r="W36">
        <v>5.4710348413474198E-2</v>
      </c>
      <c r="X36">
        <v>4.1459529283070498E-3</v>
      </c>
      <c r="AA36">
        <v>3.3000000000000002E-2</v>
      </c>
      <c r="AB36">
        <v>0.833739334886758</v>
      </c>
      <c r="AC36">
        <v>0.14371677876004199</v>
      </c>
      <c r="AD36">
        <v>2.2543886353198501E-2</v>
      </c>
      <c r="AE36">
        <v>-8.6766320454475701E-2</v>
      </c>
      <c r="AF36">
        <v>7.9313446399450704E-2</v>
      </c>
      <c r="AG36">
        <v>7.45287405502487E-3</v>
      </c>
    </row>
    <row r="37" spans="18:33" x14ac:dyDescent="0.35">
      <c r="R37">
        <v>3.4000000000000002E-2</v>
      </c>
      <c r="S37">
        <v>0.85989667688910798</v>
      </c>
      <c r="T37">
        <v>0.120713066661502</v>
      </c>
      <c r="U37">
        <v>1.9390256449389302E-2</v>
      </c>
      <c r="V37">
        <v>-6.0608978452125602E-2</v>
      </c>
      <c r="W37">
        <v>5.6309734300909797E-2</v>
      </c>
      <c r="X37">
        <v>4.2992441512157403E-3</v>
      </c>
      <c r="AA37">
        <v>3.4000000000000002E-2</v>
      </c>
      <c r="AB37">
        <v>0.83120316825638896</v>
      </c>
      <c r="AC37">
        <v>0.14594993483395999</v>
      </c>
      <c r="AD37">
        <v>2.2846896909650499E-2</v>
      </c>
      <c r="AE37">
        <v>-8.9302487084844895E-2</v>
      </c>
      <c r="AF37">
        <v>8.1546602473367799E-2</v>
      </c>
      <c r="AG37">
        <v>7.75588461147695E-3</v>
      </c>
    </row>
    <row r="38" spans="18:33" x14ac:dyDescent="0.35">
      <c r="R38">
        <v>3.5000000000000003E-2</v>
      </c>
      <c r="S38">
        <v>0.85814581031968395</v>
      </c>
      <c r="T38">
        <v>0.122309012823184</v>
      </c>
      <c r="U38">
        <v>1.9545176857130399E-2</v>
      </c>
      <c r="V38">
        <v>-6.2359845021549398E-2</v>
      </c>
      <c r="W38">
        <v>5.7905680462592597E-2</v>
      </c>
      <c r="X38">
        <v>4.4541645589568401E-3</v>
      </c>
      <c r="AA38">
        <v>3.5000000000000003E-2</v>
      </c>
      <c r="AB38">
        <v>0.828672435463914</v>
      </c>
      <c r="AC38">
        <v>0.14817328546842801</v>
      </c>
      <c r="AD38">
        <v>2.3154279067657001E-2</v>
      </c>
      <c r="AE38">
        <v>-9.1833219877319794E-2</v>
      </c>
      <c r="AF38">
        <v>8.3769953107836304E-2</v>
      </c>
      <c r="AG38">
        <v>8.0632667694834105E-3</v>
      </c>
    </row>
    <row r="39" spans="18:33" x14ac:dyDescent="0.35">
      <c r="R39">
        <v>3.5999999999999997E-2</v>
      </c>
      <c r="S39">
        <v>0.85639675395764903</v>
      </c>
      <c r="T39">
        <v>0.123901519382815</v>
      </c>
      <c r="U39">
        <v>1.9701726659534399E-2</v>
      </c>
      <c r="V39">
        <v>-6.4108901383584702E-2</v>
      </c>
      <c r="W39">
        <v>5.94981870222238E-2</v>
      </c>
      <c r="X39">
        <v>4.6107143613607904E-3</v>
      </c>
      <c r="AA39">
        <v>3.5999999999999997E-2</v>
      </c>
      <c r="AB39">
        <v>0.82614713244525995</v>
      </c>
      <c r="AC39">
        <v>0.150386848967513</v>
      </c>
      <c r="AD39">
        <v>2.3466018587225902E-2</v>
      </c>
      <c r="AE39">
        <v>-9.4358522895974101E-2</v>
      </c>
      <c r="AF39">
        <v>8.59835166069218E-2</v>
      </c>
      <c r="AG39">
        <v>8.3750062890523193E-3</v>
      </c>
    </row>
    <row r="40" spans="18:33" x14ac:dyDescent="0.35">
      <c r="R40">
        <v>3.6999999999999998E-2</v>
      </c>
      <c r="S40">
        <v>0.85464950747049295</v>
      </c>
      <c r="T40">
        <v>0.125490586462086</v>
      </c>
      <c r="U40">
        <v>1.9859906067420299E-2</v>
      </c>
      <c r="V40">
        <v>-6.5856147870741094E-2</v>
      </c>
      <c r="W40">
        <v>6.10872541014943E-2</v>
      </c>
      <c r="X40">
        <v>4.7688937692466999E-3</v>
      </c>
      <c r="AA40">
        <v>3.6999999999999998E-2</v>
      </c>
      <c r="AB40">
        <v>0.82362725510142898</v>
      </c>
      <c r="AC40">
        <v>0.152590643655375</v>
      </c>
      <c r="AD40">
        <v>2.3782101243195301E-2</v>
      </c>
      <c r="AE40">
        <v>-9.6878400239804902E-2</v>
      </c>
      <c r="AF40">
        <v>8.8187311294783299E-2</v>
      </c>
      <c r="AG40">
        <v>8.6910889450216508E-3</v>
      </c>
    </row>
    <row r="41" spans="18:33" x14ac:dyDescent="0.35">
      <c r="R41">
        <v>3.7999999999999999E-2</v>
      </c>
      <c r="S41">
        <v>0.85290407052672701</v>
      </c>
      <c r="T41">
        <v>0.127076214180675</v>
      </c>
      <c r="U41">
        <v>2.0019715292596201E-2</v>
      </c>
      <c r="V41">
        <v>-6.7601584814506593E-2</v>
      </c>
      <c r="W41">
        <v>6.2672881820083806E-2</v>
      </c>
      <c r="X41">
        <v>4.9287029944226502E-3</v>
      </c>
      <c r="AA41">
        <v>3.7999999999999999E-2</v>
      </c>
      <c r="AB41">
        <v>0.82111279929873504</v>
      </c>
      <c r="AC41">
        <v>0.15478468787588301</v>
      </c>
      <c r="AD41">
        <v>2.4102512825381901E-2</v>
      </c>
      <c r="AE41">
        <v>-9.93928560424992E-2</v>
      </c>
      <c r="AF41">
        <v>9.0381355515290807E-2</v>
      </c>
      <c r="AG41">
        <v>9.0115005272083295E-3</v>
      </c>
    </row>
    <row r="42" spans="18:33" x14ac:dyDescent="0.35">
      <c r="R42">
        <v>3.9E-2</v>
      </c>
      <c r="S42">
        <v>0.85116044279588698</v>
      </c>
      <c r="T42">
        <v>0.128658402656252</v>
      </c>
      <c r="U42">
        <v>2.0181154547859698E-2</v>
      </c>
      <c r="V42">
        <v>-6.9345212545346896E-2</v>
      </c>
      <c r="W42">
        <v>6.4255070295660702E-2</v>
      </c>
      <c r="X42">
        <v>5.0901422496861396E-3</v>
      </c>
      <c r="AA42">
        <v>3.9E-2</v>
      </c>
      <c r="AB42">
        <v>0.81860376086903397</v>
      </c>
      <c r="AC42">
        <v>0.15696899999223499</v>
      </c>
      <c r="AD42">
        <v>2.4427239138729899E-2</v>
      </c>
      <c r="AE42">
        <v>-0.10190189447219899</v>
      </c>
      <c r="AF42">
        <v>9.2565667631643297E-2</v>
      </c>
      <c r="AG42">
        <v>9.3362268405563099E-3</v>
      </c>
    </row>
    <row r="43" spans="18:33" x14ac:dyDescent="0.35">
      <c r="R43">
        <v>0.04</v>
      </c>
      <c r="S43">
        <v>0.84941862394852696</v>
      </c>
      <c r="T43">
        <v>0.130237152004474</v>
      </c>
      <c r="U43">
        <v>2.0344224046998E-2</v>
      </c>
      <c r="V43">
        <v>-7.1087031392706695E-2</v>
      </c>
      <c r="W43">
        <v>6.5833819643882296E-2</v>
      </c>
      <c r="X43">
        <v>5.2532117488244198E-3</v>
      </c>
      <c r="AA43">
        <v>0.04</v>
      </c>
      <c r="AB43">
        <v>0.81610013560996197</v>
      </c>
      <c r="AC43">
        <v>0.15914359838657999</v>
      </c>
      <c r="AD43">
        <v>2.47562660034569E-2</v>
      </c>
      <c r="AE43">
        <v>-0.104405519731271</v>
      </c>
      <c r="AF43">
        <v>9.4740266025988396E-2</v>
      </c>
      <c r="AG43">
        <v>9.6652537052833096E-3</v>
      </c>
    </row>
    <row r="44" spans="18:33" x14ac:dyDescent="0.35">
      <c r="R44">
        <v>4.1000000000000002E-2</v>
      </c>
      <c r="S44">
        <v>0.84767861365622499</v>
      </c>
      <c r="T44">
        <v>0.131812462338986</v>
      </c>
      <c r="U44">
        <v>2.0508924004788501E-2</v>
      </c>
      <c r="V44">
        <v>-7.2827041685009197E-2</v>
      </c>
      <c r="W44">
        <v>6.7409129978394197E-2</v>
      </c>
      <c r="X44">
        <v>5.4179117066148596E-3</v>
      </c>
      <c r="AA44">
        <v>4.1000000000000002E-2</v>
      </c>
      <c r="AB44">
        <v>0.81360191928516201</v>
      </c>
      <c r="AC44">
        <v>0.16130850145963699</v>
      </c>
      <c r="AD44">
        <v>2.50895792551999E-2</v>
      </c>
      <c r="AE44">
        <v>-0.10690373605607099</v>
      </c>
      <c r="AF44">
        <v>9.6905169099044994E-2</v>
      </c>
      <c r="AG44">
        <v>9.9985669570263301E-3</v>
      </c>
    </row>
    <row r="45" spans="18:33" x14ac:dyDescent="0.35">
      <c r="R45">
        <v>4.2000000000000003E-2</v>
      </c>
      <c r="S45">
        <v>0.84594041159157796</v>
      </c>
      <c r="T45">
        <v>0.133384333771422</v>
      </c>
      <c r="U45">
        <v>2.0675254636998999E-2</v>
      </c>
      <c r="V45">
        <v>-7.4565243749655397E-2</v>
      </c>
      <c r="W45">
        <v>6.8981001410829898E-2</v>
      </c>
      <c r="X45">
        <v>5.5842423388253997E-3</v>
      </c>
      <c r="AA45">
        <v>4.2000000000000003E-2</v>
      </c>
      <c r="AB45">
        <v>0.81110910762452104</v>
      </c>
      <c r="AC45">
        <v>0.163463727630318</v>
      </c>
      <c r="AD45">
        <v>2.5427164745159599E-2</v>
      </c>
      <c r="AE45">
        <v>-0.10939654771671201</v>
      </c>
      <c r="AF45">
        <v>9.9060395269726695E-2</v>
      </c>
      <c r="AG45">
        <v>1.0336152446985899E-2</v>
      </c>
    </row>
    <row r="46" spans="18:33" x14ac:dyDescent="0.35">
      <c r="R46">
        <v>4.2999999999999997E-2</v>
      </c>
      <c r="S46">
        <v>0.84420401742820805</v>
      </c>
      <c r="T46">
        <v>0.134952766411403</v>
      </c>
      <c r="U46">
        <v>2.0843216160388402E-2</v>
      </c>
      <c r="V46">
        <v>-7.6301637913025994E-2</v>
      </c>
      <c r="W46">
        <v>7.0549434050811002E-2</v>
      </c>
      <c r="X46">
        <v>5.7522038622148403E-3</v>
      </c>
      <c r="AA46">
        <v>4.2999999999999997E-2</v>
      </c>
      <c r="AB46">
        <v>0.80862169632439695</v>
      </c>
      <c r="AC46">
        <v>0.16560929533535901</v>
      </c>
      <c r="AD46">
        <v>2.5769008340243201E-2</v>
      </c>
      <c r="AE46">
        <v>-0.111883959016836</v>
      </c>
      <c r="AF46">
        <v>0.101205962974767</v>
      </c>
      <c r="AG46">
        <v>1.0677996042069499E-2</v>
      </c>
    </row>
    <row r="47" spans="18:33" x14ac:dyDescent="0.35">
      <c r="R47">
        <v>4.3999999999999997E-2</v>
      </c>
      <c r="S47">
        <v>0.84246943084075399</v>
      </c>
      <c r="T47">
        <v>0.13651776036653901</v>
      </c>
      <c r="U47">
        <v>2.1012808792706901E-2</v>
      </c>
      <c r="V47">
        <v>-7.80362245004802E-2</v>
      </c>
      <c r="W47">
        <v>7.2114428005946904E-2</v>
      </c>
      <c r="X47">
        <v>5.9217964945332798E-3</v>
      </c>
      <c r="AA47">
        <v>4.3999999999999997E-2</v>
      </c>
      <c r="AB47">
        <v>0.80613968104785305</v>
      </c>
      <c r="AC47">
        <v>0.16774522302893999</v>
      </c>
      <c r="AD47">
        <v>2.6115095923206801E-2</v>
      </c>
      <c r="AE47">
        <v>-0.114365974293381</v>
      </c>
      <c r="AF47">
        <v>0.10334189066834799</v>
      </c>
      <c r="AG47">
        <v>1.10240836250331E-2</v>
      </c>
    </row>
    <row r="48" spans="18:33" x14ac:dyDescent="0.35">
      <c r="R48">
        <v>4.4999999999999998E-2</v>
      </c>
      <c r="S48">
        <v>0.84073665150487698</v>
      </c>
      <c r="T48">
        <v>0.13807931574242599</v>
      </c>
      <c r="U48">
        <v>2.1184032752696098E-2</v>
      </c>
      <c r="V48">
        <v>-7.97690038363566E-2</v>
      </c>
      <c r="W48">
        <v>7.3675983381834106E-2</v>
      </c>
      <c r="X48">
        <v>6.0930204545224798E-3</v>
      </c>
      <c r="AA48">
        <v>4.4999999999999998E-2</v>
      </c>
      <c r="AB48">
        <v>0.80366305742488497</v>
      </c>
      <c r="AC48">
        <v>0.16987152918231899</v>
      </c>
      <c r="AD48">
        <v>2.6465413392795699E-2</v>
      </c>
      <c r="AE48">
        <v>-0.116842597916349</v>
      </c>
      <c r="AF48">
        <v>0.10546819682172601</v>
      </c>
      <c r="AG48">
        <v>1.1374401094622E-2</v>
      </c>
    </row>
    <row r="49" spans="18:33" x14ac:dyDescent="0.35">
      <c r="R49">
        <v>4.5999999999999999E-2</v>
      </c>
      <c r="S49">
        <v>0.83900567909726098</v>
      </c>
      <c r="T49">
        <v>0.139637432642648</v>
      </c>
      <c r="U49">
        <v>2.1356888260089898E-2</v>
      </c>
      <c r="V49">
        <v>-8.1499976243972802E-2</v>
      </c>
      <c r="W49">
        <v>7.5234100282056501E-2</v>
      </c>
      <c r="X49">
        <v>6.2658759619162799E-3</v>
      </c>
      <c r="AA49">
        <v>4.5999999999999999E-2</v>
      </c>
      <c r="AB49">
        <v>0.80119182105265396</v>
      </c>
      <c r="AC49">
        <v>0.171988232283461</v>
      </c>
      <c r="AD49">
        <v>2.6819946663884101E-2</v>
      </c>
      <c r="AE49">
        <v>-0.119313834288579</v>
      </c>
      <c r="AF49">
        <v>0.107584899922869</v>
      </c>
      <c r="AG49">
        <v>1.17289343657105E-2</v>
      </c>
    </row>
    <row r="50" spans="18:33" x14ac:dyDescent="0.35">
      <c r="R50">
        <v>4.7E-2</v>
      </c>
      <c r="S50">
        <v>0.83727651329560804</v>
      </c>
      <c r="T50">
        <v>0.141192111168777</v>
      </c>
      <c r="U50">
        <v>2.1531375535614499E-2</v>
      </c>
      <c r="V50">
        <v>-8.3229142045625995E-2</v>
      </c>
      <c r="W50">
        <v>7.6788778808184993E-2</v>
      </c>
      <c r="X50">
        <v>6.4403632374409204E-3</v>
      </c>
      <c r="AA50">
        <v>4.7E-2</v>
      </c>
      <c r="AB50">
        <v>0.79872596749571301</v>
      </c>
      <c r="AC50">
        <v>0.17409535083667299</v>
      </c>
      <c r="AD50">
        <v>2.7178681667613499E-2</v>
      </c>
      <c r="AE50">
        <v>-0.12177968784552</v>
      </c>
      <c r="AF50">
        <v>0.10969201847608</v>
      </c>
      <c r="AG50">
        <v>1.2087669369439899E-2</v>
      </c>
    </row>
    <row r="51" spans="18:33" x14ac:dyDescent="0.35">
      <c r="R51">
        <v>4.8000000000000001E-2</v>
      </c>
      <c r="S51">
        <v>0.83554915377864103</v>
      </c>
      <c r="T51">
        <v>0.14274335142036901</v>
      </c>
      <c r="U51">
        <v>2.1707494800989099E-2</v>
      </c>
      <c r="V51">
        <v>-8.4956501562592407E-2</v>
      </c>
      <c r="W51">
        <v>7.8340019059776902E-2</v>
      </c>
      <c r="X51">
        <v>6.61648250281552E-3</v>
      </c>
      <c r="AA51">
        <v>4.8000000000000001E-2</v>
      </c>
      <c r="AB51">
        <v>0.796265492286236</v>
      </c>
      <c r="AC51">
        <v>0.17619290336223301</v>
      </c>
      <c r="AD51">
        <v>2.7541604351529601E-2</v>
      </c>
      <c r="AE51">
        <v>-0.12424016305499699</v>
      </c>
      <c r="AF51">
        <v>0.111789571001641</v>
      </c>
      <c r="AG51">
        <v>1.2450592053356E-2</v>
      </c>
    </row>
    <row r="52" spans="18:33" x14ac:dyDescent="0.35">
      <c r="R52">
        <v>4.9000000000000002E-2</v>
      </c>
      <c r="S52">
        <v>0.83382360022610502</v>
      </c>
      <c r="T52">
        <v>0.14429115349496799</v>
      </c>
      <c r="U52">
        <v>2.1885246278926001E-2</v>
      </c>
      <c r="V52">
        <v>-8.66820551151289E-2</v>
      </c>
      <c r="W52">
        <v>7.98878211343763E-2</v>
      </c>
      <c r="X52">
        <v>6.7942339807523901E-3</v>
      </c>
      <c r="AA52">
        <v>4.9000000000000002E-2</v>
      </c>
      <c r="AB52">
        <v>0.79381039092424699</v>
      </c>
      <c r="AC52">
        <v>0.178280908396034</v>
      </c>
      <c r="AD52">
        <v>2.7908700679718401E-2</v>
      </c>
      <c r="AE52">
        <v>-0.126695264416986</v>
      </c>
      <c r="AF52">
        <v>0.113877576035442</v>
      </c>
      <c r="AG52">
        <v>1.2817688381544699E-2</v>
      </c>
    </row>
    <row r="53" spans="18:33" x14ac:dyDescent="0.35">
      <c r="R53">
        <v>0.05</v>
      </c>
      <c r="S53">
        <v>0.83209985231876304</v>
      </c>
      <c r="T53">
        <v>0.145835517488105</v>
      </c>
      <c r="U53">
        <v>2.20646301931311E-2</v>
      </c>
      <c r="V53">
        <v>-8.8405803022470905E-2</v>
      </c>
      <c r="W53">
        <v>8.1432185127513296E-2</v>
      </c>
      <c r="X53">
        <v>6.9736178949574698E-3</v>
      </c>
      <c r="AA53">
        <v>0.05</v>
      </c>
      <c r="AB53">
        <v>0.79136065887784401</v>
      </c>
      <c r="AC53">
        <v>0.18035938448921399</v>
      </c>
      <c r="AD53">
        <v>2.82799566329409E-2</v>
      </c>
      <c r="AE53">
        <v>-0.12914499646338901</v>
      </c>
      <c r="AF53">
        <v>0.11595605212862201</v>
      </c>
      <c r="AG53">
        <v>1.3188944334767199E-2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51FC0-4767-449E-B555-717B7CD579E4}">
  <dimension ref="A1:AC53"/>
  <sheetViews>
    <sheetView tabSelected="1" workbookViewId="0">
      <selection activeCell="N17" sqref="N17"/>
    </sheetView>
  </sheetViews>
  <sheetFormatPr defaultRowHeight="14.5" x14ac:dyDescent="0.35"/>
  <cols>
    <col min="1" max="1" width="11.26953125" customWidth="1"/>
  </cols>
  <sheetData>
    <row r="1" spans="1:29" x14ac:dyDescent="0.35">
      <c r="O1" s="1" t="s">
        <v>30</v>
      </c>
      <c r="Q1" s="1" t="s">
        <v>29</v>
      </c>
      <c r="AC1" s="1"/>
    </row>
    <row r="2" spans="1:29" x14ac:dyDescent="0.35">
      <c r="Q2" t="s">
        <v>3</v>
      </c>
      <c r="R2" t="s">
        <v>0</v>
      </c>
      <c r="S2" t="s">
        <v>1</v>
      </c>
      <c r="T2" s="11" t="s">
        <v>2</v>
      </c>
      <c r="U2" t="s">
        <v>5</v>
      </c>
      <c r="V2" t="s">
        <v>4</v>
      </c>
      <c r="W2" t="s">
        <v>6</v>
      </c>
      <c r="X2" t="s">
        <v>8</v>
      </c>
    </row>
    <row r="3" spans="1:29" x14ac:dyDescent="0.35">
      <c r="Q3">
        <v>0</v>
      </c>
      <c r="R3">
        <v>0.93193491933540895</v>
      </c>
      <c r="S3">
        <v>6.0669209347524199E-2</v>
      </c>
      <c r="T3">
        <v>7.3958713170665501E-3</v>
      </c>
    </row>
    <row r="4" spans="1:29" x14ac:dyDescent="0.35">
      <c r="A4" s="1" t="s">
        <v>22</v>
      </c>
      <c r="Q4">
        <v>1E-3</v>
      </c>
      <c r="R4">
        <v>0.92823991577411302</v>
      </c>
      <c r="S4">
        <v>6.4146500434444406E-2</v>
      </c>
      <c r="T4">
        <v>7.6135837914424404E-3</v>
      </c>
      <c r="U4">
        <v>-3.6950035612960301E-3</v>
      </c>
      <c r="V4">
        <v>3.4772910869202102E-3</v>
      </c>
      <c r="W4">
        <v>2.1771247437589499E-4</v>
      </c>
      <c r="X4">
        <f>W4/V4</f>
        <v>6.2609792776571943E-2</v>
      </c>
    </row>
    <row r="5" spans="1:29" x14ac:dyDescent="0.35">
      <c r="Q5">
        <v>2E-3</v>
      </c>
      <c r="R5">
        <v>0.92455646285680404</v>
      </c>
      <c r="S5">
        <v>6.7602459310471694E-2</v>
      </c>
      <c r="T5">
        <v>7.8410778327240391E-3</v>
      </c>
      <c r="U5">
        <v>-7.3784564786049103E-3</v>
      </c>
      <c r="V5">
        <v>6.9332499629474603E-3</v>
      </c>
      <c r="W5">
        <v>4.4520651565749502E-4</v>
      </c>
      <c r="X5">
        <f t="shared" ref="X5:X53" si="0">W5/V5</f>
        <v>6.4213250356868576E-2</v>
      </c>
    </row>
    <row r="6" spans="1:29" x14ac:dyDescent="0.35">
      <c r="A6" s="3" t="s">
        <v>17</v>
      </c>
      <c r="B6" s="3" t="s">
        <v>0</v>
      </c>
      <c r="C6" s="3" t="s">
        <v>1</v>
      </c>
      <c r="D6" s="3" t="s">
        <v>2</v>
      </c>
      <c r="E6" s="3" t="s">
        <v>4</v>
      </c>
      <c r="F6" s="3" t="s">
        <v>6</v>
      </c>
      <c r="G6" s="3" t="s">
        <v>8</v>
      </c>
      <c r="H6" s="3" t="s">
        <v>23</v>
      </c>
      <c r="Q6">
        <v>3.0000000000000001E-3</v>
      </c>
      <c r="R6">
        <v>0.920884550068513</v>
      </c>
      <c r="S6">
        <v>7.1037157770495796E-2</v>
      </c>
      <c r="T6">
        <v>8.0782921609906799E-3</v>
      </c>
      <c r="U6">
        <v>-1.1050369266895701E-2</v>
      </c>
      <c r="V6">
        <v>1.0367948422971601E-2</v>
      </c>
      <c r="W6">
        <v>6.8242084392413597E-4</v>
      </c>
      <c r="X6">
        <f t="shared" si="0"/>
        <v>6.5820239075663201E-2</v>
      </c>
    </row>
    <row r="7" spans="1:29" x14ac:dyDescent="0.35">
      <c r="A7" s="4">
        <v>1</v>
      </c>
      <c r="B7" s="6">
        <v>0.83190261175414992</v>
      </c>
      <c r="C7" s="6">
        <v>0.14548131931211811</v>
      </c>
      <c r="D7" s="6">
        <v>2.2616068933732102E-2</v>
      </c>
      <c r="E7" s="8">
        <f>C7-$V$4</f>
        <v>0.14200402822519789</v>
      </c>
      <c r="F7" s="8">
        <f>D7-$W$4</f>
        <v>2.2398356459356207E-2</v>
      </c>
      <c r="G7" s="10">
        <f>F7/E7</f>
        <v>0.1577304301807245</v>
      </c>
      <c r="H7" s="12">
        <v>3.4000000000000002E-2</v>
      </c>
      <c r="Q7">
        <v>4.0000000000000001E-3</v>
      </c>
      <c r="R7">
        <v>0.917224166616467</v>
      </c>
      <c r="S7">
        <v>7.4450667709017204E-2</v>
      </c>
      <c r="T7">
        <v>8.3251656745149099E-3</v>
      </c>
      <c r="U7">
        <v>-1.4710752718941201E-2</v>
      </c>
      <c r="V7">
        <v>1.37814583614929E-2</v>
      </c>
      <c r="W7">
        <v>9.2929435744835802E-4</v>
      </c>
      <c r="X7">
        <f t="shared" si="0"/>
        <v>6.7430770610236834E-2</v>
      </c>
    </row>
    <row r="8" spans="1:29" x14ac:dyDescent="0.35">
      <c r="A8" s="4">
        <v>2</v>
      </c>
      <c r="B8" s="6">
        <v>0.81864528883364007</v>
      </c>
      <c r="C8" s="6">
        <v>0.15666712032059019</v>
      </c>
      <c r="D8" s="6">
        <v>2.4687590845769561E-2</v>
      </c>
      <c r="E8" s="8">
        <f>C8-$V$4</f>
        <v>0.15318982923366997</v>
      </c>
      <c r="F8" s="8">
        <f>D8-$W$4</f>
        <v>2.4469878371393666E-2</v>
      </c>
      <c r="G8" s="10">
        <f>F8/E8</f>
        <v>0.15973565930456282</v>
      </c>
      <c r="H8" s="12">
        <v>4.8000000000000001E-2</v>
      </c>
      <c r="Q8">
        <v>5.0000000000000001E-3</v>
      </c>
      <c r="R8">
        <v>0.91357530143337995</v>
      </c>
      <c r="S8">
        <v>7.7843061115432502E-2</v>
      </c>
      <c r="T8">
        <v>8.5816374511870405E-3</v>
      </c>
      <c r="U8">
        <v>-1.8359617902028599E-2</v>
      </c>
      <c r="V8">
        <v>1.7173851767908199E-2</v>
      </c>
      <c r="W8">
        <v>1.1857661341204901E-3</v>
      </c>
      <c r="X8">
        <f t="shared" si="0"/>
        <v>6.9044856689415707E-2</v>
      </c>
    </row>
    <row r="9" spans="1:29" x14ac:dyDescent="0.35">
      <c r="A9" s="4">
        <v>3</v>
      </c>
      <c r="B9" s="6">
        <v>0.82185113400965726</v>
      </c>
      <c r="C9" s="6">
        <v>0.15435115778147021</v>
      </c>
      <c r="D9" s="6">
        <v>2.379770820887259E-2</v>
      </c>
      <c r="E9" s="8">
        <f>C9-$V$4</f>
        <v>0.15087386669455</v>
      </c>
      <c r="F9" s="8">
        <f>D9-$W$4</f>
        <v>2.3579995734496696E-2</v>
      </c>
      <c r="G9" s="10">
        <f>F9/E9</f>
        <v>0.1562894638488673</v>
      </c>
      <c r="H9" s="12">
        <v>4.2999999999999997E-2</v>
      </c>
      <c r="Q9">
        <v>6.0000000000000001E-3</v>
      </c>
      <c r="R9">
        <v>0.90993794318072097</v>
      </c>
      <c r="S9">
        <v>8.1214410069369206E-2</v>
      </c>
      <c r="T9">
        <v>8.8476467499090296E-3</v>
      </c>
      <c r="U9">
        <v>-2.19969761546875E-2</v>
      </c>
      <c r="V9">
        <v>2.0545200721845E-2</v>
      </c>
      <c r="W9">
        <v>1.4517754328424799E-3</v>
      </c>
      <c r="X9">
        <f t="shared" si="0"/>
        <v>7.0662509093856518E-2</v>
      </c>
    </row>
    <row r="10" spans="1:29" x14ac:dyDescent="0.35">
      <c r="A10" s="4">
        <v>4</v>
      </c>
      <c r="B10" s="6">
        <v>0.82783365157904043</v>
      </c>
      <c r="C10" s="6">
        <v>0.14898961090159751</v>
      </c>
      <c r="D10" s="6">
        <v>2.3176737519362119E-2</v>
      </c>
      <c r="E10" s="8">
        <f>C10-$V$4</f>
        <v>0.1455123198146773</v>
      </c>
      <c r="F10" s="8">
        <f>D10-$W$4</f>
        <v>2.2959025044986224E-2</v>
      </c>
      <c r="G10" s="10">
        <f>F10/E10</f>
        <v>0.15778062692029482</v>
      </c>
      <c r="H10" s="12">
        <v>4.5999999999999999E-2</v>
      </c>
      <c r="Q10">
        <v>7.0000000000000001E-3</v>
      </c>
      <c r="R10">
        <v>0.90631208025197396</v>
      </c>
      <c r="S10">
        <v>8.4564786736067696E-2</v>
      </c>
      <c r="T10">
        <v>9.1231330119577701E-3</v>
      </c>
      <c r="U10">
        <v>-2.5622839083434702E-2</v>
      </c>
      <c r="V10">
        <v>2.3895577388543501E-2</v>
      </c>
      <c r="W10">
        <v>1.72726169489122E-3</v>
      </c>
      <c r="X10">
        <f t="shared" si="0"/>
        <v>7.2283739656332335E-2</v>
      </c>
    </row>
    <row r="11" spans="1:29" x14ac:dyDescent="0.35">
      <c r="A11" s="4">
        <v>5</v>
      </c>
      <c r="B11" s="6">
        <v>0.77785461528351341</v>
      </c>
      <c r="C11" s="6">
        <v>0.19591267074009661</v>
      </c>
      <c r="D11" s="6">
        <v>2.623271397638987E-2</v>
      </c>
      <c r="E11" s="8">
        <f>C11-$V$4</f>
        <v>0.19243537965317639</v>
      </c>
      <c r="F11" s="8">
        <f>D11-$W$4</f>
        <v>2.6015001502013975E-2</v>
      </c>
      <c r="G11" s="10">
        <f>F11/E11</f>
        <v>0.13518824630325491</v>
      </c>
      <c r="H11" s="12">
        <v>4.65E-2</v>
      </c>
      <c r="Q11">
        <v>8.0000000000000002E-3</v>
      </c>
      <c r="R11">
        <v>0.90269770077586997</v>
      </c>
      <c r="S11">
        <v>8.7894263361811206E-2</v>
      </c>
      <c r="T11">
        <v>9.4080358623182397E-3</v>
      </c>
      <c r="U11">
        <v>-2.9237218559538598E-2</v>
      </c>
      <c r="V11">
        <v>2.7225054014287001E-2</v>
      </c>
      <c r="W11">
        <v>2.0121645452516801E-3</v>
      </c>
      <c r="X11">
        <f t="shared" si="0"/>
        <v>7.3908560262019987E-2</v>
      </c>
    </row>
    <row r="12" spans="1:29" x14ac:dyDescent="0.35">
      <c r="Q12">
        <v>8.9999999999999993E-3</v>
      </c>
      <c r="R12">
        <v>0.89909479261960901</v>
      </c>
      <c r="S12">
        <v>9.1202912269403497E-2</v>
      </c>
      <c r="T12">
        <v>9.70229511098669E-3</v>
      </c>
      <c r="U12">
        <v>-3.28401267157995E-2</v>
      </c>
      <c r="V12">
        <v>3.0533702921879301E-2</v>
      </c>
      <c r="W12">
        <v>2.3064237939201299E-3</v>
      </c>
      <c r="X12">
        <f t="shared" si="0"/>
        <v>7.5536982848792747E-2</v>
      </c>
    </row>
    <row r="13" spans="1:29" x14ac:dyDescent="0.35">
      <c r="Q13">
        <v>0.01</v>
      </c>
      <c r="R13">
        <v>0.89550334339206095</v>
      </c>
      <c r="S13">
        <v>9.4490805853694307E-2</v>
      </c>
      <c r="T13">
        <v>1.00058507542441E-2</v>
      </c>
      <c r="U13">
        <v>-3.6431575943347602E-2</v>
      </c>
      <c r="V13">
        <v>3.3821596506169997E-2</v>
      </c>
      <c r="W13">
        <v>2.6099794371776401E-3</v>
      </c>
      <c r="X13">
        <f t="shared" si="0"/>
        <v>7.7169019407511044E-2</v>
      </c>
    </row>
    <row r="14" spans="1:29" x14ac:dyDescent="0.35">
      <c r="A14" s="1" t="s">
        <v>25</v>
      </c>
      <c r="Q14">
        <v>1.0999999999999999E-2</v>
      </c>
      <c r="R14">
        <v>0.89192334044694699</v>
      </c>
      <c r="S14">
        <v>9.7758016577151399E-2</v>
      </c>
      <c r="T14">
        <v>1.03186429759007E-2</v>
      </c>
      <c r="U14">
        <v>-4.0011578888461297E-2</v>
      </c>
      <c r="V14">
        <v>3.7088807229627201E-2</v>
      </c>
      <c r="W14">
        <v>2.9227716588342101E-3</v>
      </c>
      <c r="X14">
        <f t="shared" si="0"/>
        <v>7.8804681982316438E-2</v>
      </c>
    </row>
    <row r="15" spans="1:29" x14ac:dyDescent="0.35">
      <c r="A15" s="1" t="s">
        <v>26</v>
      </c>
      <c r="Q15">
        <v>1.2E-2</v>
      </c>
      <c r="R15">
        <v>0.888354770886008</v>
      </c>
      <c r="S15">
        <v>0.10100461696548001</v>
      </c>
      <c r="T15">
        <v>1.06406121485103E-2</v>
      </c>
      <c r="U15">
        <v>-4.3580148449400301E-2</v>
      </c>
      <c r="V15">
        <v>4.0335407617956599E-2</v>
      </c>
      <c r="W15">
        <v>3.2447408314438E-3</v>
      </c>
      <c r="X15">
        <f t="shared" si="0"/>
        <v>8.0443982670930031E-2</v>
      </c>
    </row>
    <row r="16" spans="1:29" x14ac:dyDescent="0.35">
      <c r="A16" s="1" t="s">
        <v>27</v>
      </c>
      <c r="Q16">
        <v>1.2999999999999999E-2</v>
      </c>
      <c r="R16">
        <v>0.88479762156214903</v>
      </c>
      <c r="S16">
        <v>0.10423067960329301</v>
      </c>
      <c r="T16">
        <v>1.0971698834557E-2</v>
      </c>
      <c r="U16">
        <v>-4.7137297773259298E-2</v>
      </c>
      <c r="V16">
        <v>4.35614702557688E-2</v>
      </c>
      <c r="W16">
        <v>3.5758275174904899E-3</v>
      </c>
      <c r="X16">
        <f t="shared" si="0"/>
        <v>8.2086933624949149E-2</v>
      </c>
    </row>
    <row r="17" spans="1:24" x14ac:dyDescent="0.35">
      <c r="A17" s="1" t="s">
        <v>28</v>
      </c>
      <c r="Q17">
        <v>1.4E-2</v>
      </c>
      <c r="R17">
        <v>0.88125187908256997</v>
      </c>
      <c r="S17">
        <v>0.107436277129816</v>
      </c>
      <c r="T17">
        <v>1.13118437876125E-2</v>
      </c>
      <c r="U17">
        <v>-5.0683040252838499E-2</v>
      </c>
      <c r="V17">
        <v>4.6767067782292497E-2</v>
      </c>
      <c r="W17">
        <v>3.9159724705459999E-3</v>
      </c>
      <c r="X17">
        <f t="shared" si="0"/>
        <v>8.3733547050146934E-2</v>
      </c>
    </row>
    <row r="18" spans="1:24" x14ac:dyDescent="0.35">
      <c r="A18" s="1"/>
      <c r="Q18">
        <v>1.4999999999999999E-2</v>
      </c>
      <c r="R18">
        <v>0.87771752981187501</v>
      </c>
      <c r="S18">
        <v>0.11062148223465799</v>
      </c>
      <c r="T18">
        <v>1.16609879534655E-2</v>
      </c>
      <c r="U18">
        <v>-5.4217389523533201E-2</v>
      </c>
      <c r="V18">
        <v>4.9952272887134198E-2</v>
      </c>
      <c r="W18">
        <v>4.2651166363990196E-3</v>
      </c>
      <c r="X18">
        <f t="shared" si="0"/>
        <v>8.5383835206776976E-2</v>
      </c>
    </row>
    <row r="19" spans="1:24" x14ac:dyDescent="0.35">
      <c r="Q19">
        <v>1.6E-2</v>
      </c>
      <c r="R19">
        <v>0.87419455987516703</v>
      </c>
      <c r="S19">
        <v>0.113786367653609</v>
      </c>
      <c r="T19">
        <v>1.20190724712229E-2</v>
      </c>
      <c r="U19">
        <v>-5.7740359460241503E-2</v>
      </c>
      <c r="V19">
        <v>5.3117158306085301E-2</v>
      </c>
      <c r="W19">
        <v>4.6232011541563599E-3</v>
      </c>
      <c r="X19">
        <f t="shared" si="0"/>
        <v>8.7037810409874822E-2</v>
      </c>
    </row>
    <row r="20" spans="1:24" x14ac:dyDescent="0.35">
      <c r="Q20">
        <v>1.7000000000000001E-2</v>
      </c>
      <c r="R20">
        <v>0.87068295516111804</v>
      </c>
      <c r="S20">
        <v>0.116931006164498</v>
      </c>
      <c r="T20">
        <v>1.2386038674382999E-2</v>
      </c>
      <c r="U20">
        <v>-6.1251964174290401E-2</v>
      </c>
      <c r="V20">
        <v>5.6261796816973998E-2</v>
      </c>
      <c r="W20">
        <v>4.9901673573164501E-3</v>
      </c>
      <c r="X20">
        <f t="shared" si="0"/>
        <v>8.8695485029566867E-2</v>
      </c>
    </row>
    <row r="21" spans="1:24" x14ac:dyDescent="0.35">
      <c r="Q21">
        <v>1.7999999999999999E-2</v>
      </c>
      <c r="R21">
        <v>0.86718270132502895</v>
      </c>
      <c r="S21">
        <v>0.12005547058308901</v>
      </c>
      <c r="T21">
        <v>1.27618280918817E-2</v>
      </c>
      <c r="U21">
        <v>-6.4752218010380003E-2</v>
      </c>
      <c r="V21">
        <v>5.93862612355648E-2</v>
      </c>
      <c r="W21">
        <v>5.3659567748152301E-3</v>
      </c>
      <c r="X21">
        <f t="shared" si="0"/>
        <v>9.0356871491376292E-2</v>
      </c>
    </row>
    <row r="22" spans="1:24" x14ac:dyDescent="0.35">
      <c r="Q22">
        <v>1.9E-2</v>
      </c>
      <c r="R22">
        <v>0.86369378379186201</v>
      </c>
      <c r="S22">
        <v>0.12315983375902601</v>
      </c>
      <c r="T22">
        <v>1.3146382449111401E-2</v>
      </c>
      <c r="U22">
        <v>-6.8241135543547105E-2</v>
      </c>
      <c r="V22">
        <v>6.2490624411502202E-2</v>
      </c>
      <c r="W22">
        <v>5.75051113204492E-3</v>
      </c>
      <c r="X22">
        <f t="shared" si="0"/>
        <v>9.2021982276535949E-2</v>
      </c>
    </row>
    <row r="23" spans="1:24" x14ac:dyDescent="0.35">
      <c r="Q23">
        <v>0.02</v>
      </c>
      <c r="R23">
        <v>0.86021618775926101</v>
      </c>
      <c r="S23">
        <v>0.12624416857182499</v>
      </c>
      <c r="T23">
        <v>1.35396436689122E-2</v>
      </c>
      <c r="U23">
        <v>-7.1718731576147193E-2</v>
      </c>
      <c r="V23">
        <v>6.5574959224301593E-2</v>
      </c>
      <c r="W23">
        <v>6.1437723518457197E-3</v>
      </c>
      <c r="X23">
        <f t="shared" si="0"/>
        <v>9.369082992229881E-2</v>
      </c>
    </row>
    <row r="24" spans="1:24" x14ac:dyDescent="0.35">
      <c r="Q24">
        <v>2.1000000000000001E-2</v>
      </c>
      <c r="R24">
        <v>0.85674989820055403</v>
      </c>
      <c r="S24">
        <v>0.12930854792690799</v>
      </c>
      <c r="T24">
        <v>1.3941553872537401E-2</v>
      </c>
      <c r="U24">
        <v>-7.5185021134854896E-2</v>
      </c>
      <c r="V24">
        <v>6.8639338579383993E-2</v>
      </c>
      <c r="W24">
        <v>6.5456825554708999E-3</v>
      </c>
      <c r="X24">
        <f t="shared" si="0"/>
        <v>9.5363427022254449E-2</v>
      </c>
    </row>
    <row r="25" spans="1:24" x14ac:dyDescent="0.35">
      <c r="Q25">
        <v>2.1999999999999999E-2</v>
      </c>
      <c r="R25">
        <v>0.853294899867726</v>
      </c>
      <c r="S25">
        <v>0.132353044751681</v>
      </c>
      <c r="T25">
        <v>1.4352055380591901E-2</v>
      </c>
      <c r="U25">
        <v>-7.8640019467682704E-2</v>
      </c>
      <c r="V25">
        <v>7.1683835404157403E-2</v>
      </c>
      <c r="W25">
        <v>6.9561840635253601E-3</v>
      </c>
      <c r="X25">
        <f t="shared" si="0"/>
        <v>9.7039786226643873E-2</v>
      </c>
    </row>
    <row r="26" spans="1:24" x14ac:dyDescent="0.35">
      <c r="Q26">
        <v>2.3E-2</v>
      </c>
      <c r="R26">
        <v>0.84985117729438797</v>
      </c>
      <c r="S26">
        <v>0.135377731991666</v>
      </c>
      <c r="T26">
        <v>1.4771090713944701E-2</v>
      </c>
      <c r="U26">
        <v>-8.2083742041020299E-2</v>
      </c>
      <c r="V26">
        <v>7.4708522644142197E-2</v>
      </c>
      <c r="W26">
        <v>7.3752193968781897E-3</v>
      </c>
      <c r="X26">
        <f t="shared" si="0"/>
        <v>9.8719920242680254E-2</v>
      </c>
    </row>
    <row r="27" spans="1:24" x14ac:dyDescent="0.35">
      <c r="Q27">
        <v>2.4E-2</v>
      </c>
      <c r="R27">
        <v>0.846418714798718</v>
      </c>
      <c r="S27">
        <v>0.138382682606665</v>
      </c>
      <c r="T27">
        <v>1.5198602594615701E-2</v>
      </c>
      <c r="U27">
        <v>-8.5516204536690496E-2</v>
      </c>
      <c r="V27">
        <v>7.7713473259141394E-2</v>
      </c>
      <c r="W27">
        <v>7.8027312775491896E-3</v>
      </c>
      <c r="X27">
        <f t="shared" si="0"/>
        <v>0.10040384183486946</v>
      </c>
    </row>
    <row r="28" spans="1:24" x14ac:dyDescent="0.35">
      <c r="Q28">
        <v>2.5000000000000001E-2</v>
      </c>
      <c r="R28">
        <v>0.842997496486383</v>
      </c>
      <c r="S28">
        <v>0.14136796956698</v>
      </c>
      <c r="T28">
        <v>1.56345339466363E-2</v>
      </c>
      <c r="U28">
        <v>-8.8937422849026004E-2</v>
      </c>
      <c r="V28">
        <v>8.0698760219456295E-2</v>
      </c>
      <c r="W28">
        <v>8.2386626295697998E-3</v>
      </c>
      <c r="X28">
        <f t="shared" si="0"/>
        <v>0.10209156382533217</v>
      </c>
    </row>
    <row r="29" spans="1:24" x14ac:dyDescent="0.35">
      <c r="Q29">
        <v>2.5999999999999999E-2</v>
      </c>
      <c r="R29">
        <v>0.83958750625344503</v>
      </c>
      <c r="S29">
        <v>0.144333665849669</v>
      </c>
      <c r="T29">
        <v>1.6078827896885198E-2</v>
      </c>
      <c r="U29">
        <v>-9.2347413081963703E-2</v>
      </c>
      <c r="V29">
        <v>8.3664456502144893E-2</v>
      </c>
      <c r="W29">
        <v>8.6829565798187403E-3</v>
      </c>
      <c r="X29">
        <f t="shared" si="0"/>
        <v>0.10378309909413129</v>
      </c>
    </row>
    <row r="30" spans="1:24" x14ac:dyDescent="0.35">
      <c r="Q30">
        <v>2.7E-2</v>
      </c>
      <c r="R30">
        <v>0.83618872778925002</v>
      </c>
      <c r="S30">
        <v>0.14727984443485001</v>
      </c>
      <c r="T30">
        <v>1.6531427775898999E-2</v>
      </c>
      <c r="U30">
        <v>-9.5746191546158904E-2</v>
      </c>
      <c r="V30">
        <v>8.6610635087326401E-2</v>
      </c>
      <c r="W30">
        <v>9.1355564588324698E-3</v>
      </c>
      <c r="X30">
        <f t="shared" si="0"/>
        <v>0.10547846057959759</v>
      </c>
    </row>
    <row r="31" spans="1:24" x14ac:dyDescent="0.35">
      <c r="Q31">
        <v>2.8000000000000001E-2</v>
      </c>
      <c r="R31">
        <v>0.832801144579291</v>
      </c>
      <c r="S31">
        <v>0.150206578302051</v>
      </c>
      <c r="T31">
        <v>1.69922771186574E-2</v>
      </c>
      <c r="U31">
        <v>-9.9133774756118107E-2</v>
      </c>
      <c r="V31">
        <v>8.9537368954527297E-2</v>
      </c>
      <c r="W31">
        <v>9.5964058015908706E-3</v>
      </c>
      <c r="X31">
        <f t="shared" si="0"/>
        <v>0.10717766127866152</v>
      </c>
    </row>
    <row r="32" spans="1:24" x14ac:dyDescent="0.35">
      <c r="Q32">
        <v>2.9000000000000001E-2</v>
      </c>
      <c r="R32">
        <v>0.82942473990805698</v>
      </c>
      <c r="S32">
        <v>0.15311394042659701</v>
      </c>
      <c r="T32">
        <v>1.74613196653448E-2</v>
      </c>
      <c r="U32">
        <v>-0.10251017942735099</v>
      </c>
      <c r="V32">
        <v>9.2444731079073195E-2</v>
      </c>
      <c r="W32">
        <v>1.00654483482783E-2</v>
      </c>
      <c r="X32">
        <f t="shared" si="0"/>
        <v>0.10888071424718358</v>
      </c>
    </row>
    <row r="33" spans="17:24" x14ac:dyDescent="0.35">
      <c r="Q33">
        <v>0.03</v>
      </c>
      <c r="R33">
        <v>0.82605949686186497</v>
      </c>
      <c r="S33">
        <v>0.156002003776047</v>
      </c>
      <c r="T33">
        <v>1.7938499362086999E-2</v>
      </c>
      <c r="U33">
        <v>-0.10587542247354299</v>
      </c>
      <c r="V33">
        <v>9.5332794428522799E-2</v>
      </c>
      <c r="W33">
        <v>1.05426280450205E-2</v>
      </c>
      <c r="X33">
        <f t="shared" si="0"/>
        <v>0.11058763260029049</v>
      </c>
    </row>
    <row r="34" spans="17:24" x14ac:dyDescent="0.35">
      <c r="Q34">
        <v>3.1E-2</v>
      </c>
      <c r="R34">
        <v>0.822705398331666</v>
      </c>
      <c r="S34">
        <v>0.15887084130666901</v>
      </c>
      <c r="T34">
        <v>1.84237603616637E-2</v>
      </c>
      <c r="U34">
        <v>-0.109229521003742</v>
      </c>
      <c r="V34">
        <v>9.8201631959145302E-2</v>
      </c>
      <c r="W34">
        <v>1.1027889044597099E-2</v>
      </c>
      <c r="X34">
        <f t="shared" si="0"/>
        <v>0.1122984295127093</v>
      </c>
    </row>
    <row r="35" spans="17:24" x14ac:dyDescent="0.35">
      <c r="Q35">
        <v>3.2000000000000001E-2</v>
      </c>
      <c r="R35">
        <v>0.81936242701583595</v>
      </c>
      <c r="S35">
        <v>0.161720525959965</v>
      </c>
      <c r="T35">
        <v>1.8917047024197501E-2</v>
      </c>
      <c r="U35">
        <v>-0.112572492319572</v>
      </c>
      <c r="V35">
        <v>0.101051316612441</v>
      </c>
      <c r="W35">
        <v>1.1521175707130999E-2</v>
      </c>
      <c r="X35">
        <f t="shared" si="0"/>
        <v>0.11401311821911049</v>
      </c>
    </row>
    <row r="36" spans="17:24" x14ac:dyDescent="0.35">
      <c r="Q36">
        <v>3.3000000000000002E-2</v>
      </c>
      <c r="R36">
        <v>0.81603056542295005</v>
      </c>
      <c r="S36">
        <v>0.16455113065922899</v>
      </c>
      <c r="T36">
        <v>1.9418303917819901E-2</v>
      </c>
      <c r="U36">
        <v>-0.115904353912458</v>
      </c>
      <c r="V36">
        <v>0.103881921311705</v>
      </c>
      <c r="W36">
        <v>1.2022432600753301E-2</v>
      </c>
      <c r="X36">
        <f t="shared" si="0"/>
        <v>0.11573171201444328</v>
      </c>
    </row>
    <row r="37" spans="17:24" x14ac:dyDescent="0.35">
      <c r="Q37">
        <v>3.4000000000000002E-2</v>
      </c>
      <c r="R37">
        <v>0.81270979587453196</v>
      </c>
      <c r="S37">
        <v>0.16736272830615501</v>
      </c>
      <c r="T37">
        <v>1.99274758193125E-2</v>
      </c>
      <c r="U37">
        <v>-0.11922512346087701</v>
      </c>
      <c r="V37">
        <v>0.106693518958631</v>
      </c>
      <c r="W37">
        <v>1.2531604502246E-2</v>
      </c>
      <c r="X37">
        <f t="shared" si="0"/>
        <v>0.11745422425428638</v>
      </c>
    </row>
    <row r="38" spans="17:24" x14ac:dyDescent="0.35">
      <c r="Q38">
        <v>3.5000000000000003E-2</v>
      </c>
      <c r="R38">
        <v>0.80940010050778599</v>
      </c>
      <c r="S38">
        <v>0.17015539177748501</v>
      </c>
      <c r="T38">
        <v>2.0444507714727202E-2</v>
      </c>
      <c r="U38">
        <v>-0.122534818827622</v>
      </c>
      <c r="V38">
        <v>0.109486182429961</v>
      </c>
      <c r="W38">
        <v>1.30486363976606E-2</v>
      </c>
      <c r="X38">
        <f t="shared" si="0"/>
        <v>0.11918066835518623</v>
      </c>
    </row>
    <row r="39" spans="17:24" x14ac:dyDescent="0.35">
      <c r="Q39">
        <v>3.5999999999999997E-2</v>
      </c>
      <c r="R39">
        <v>0.80610146127831805</v>
      </c>
      <c r="S39">
        <v>0.172929193921699</v>
      </c>
      <c r="T39">
        <v>2.09693447999818E-2</v>
      </c>
      <c r="U39">
        <v>-0.12583345805709001</v>
      </c>
      <c r="V39">
        <v>0.11225998457417501</v>
      </c>
      <c r="W39">
        <v>1.3573473482915301E-2</v>
      </c>
      <c r="X39">
        <f t="shared" si="0"/>
        <v>0.12091105779501263</v>
      </c>
    </row>
    <row r="40" spans="17:24" x14ac:dyDescent="0.35">
      <c r="Q40">
        <v>3.6999999999999998E-2</v>
      </c>
      <c r="R40">
        <v>0.80281385996281995</v>
      </c>
      <c r="S40">
        <v>0.17568420755574399</v>
      </c>
      <c r="T40">
        <v>2.1501932481434699E-2</v>
      </c>
      <c r="U40">
        <v>-0.129121059372588</v>
      </c>
      <c r="V40">
        <v>0.11501499820822</v>
      </c>
      <c r="W40">
        <v>1.4106061164368199E-2</v>
      </c>
      <c r="X40">
        <f t="shared" si="0"/>
        <v>0.12264540611330509</v>
      </c>
    </row>
    <row r="41" spans="17:24" x14ac:dyDescent="0.35">
      <c r="Q41">
        <v>3.7999999999999999E-2</v>
      </c>
      <c r="R41">
        <v>0.79953727816175302</v>
      </c>
      <c r="S41">
        <v>0.17842050546180999</v>
      </c>
      <c r="T41">
        <v>2.20422163764359E-2</v>
      </c>
      <c r="U41">
        <v>-0.13239764117365499</v>
      </c>
      <c r="V41">
        <v>0.117751296114286</v>
      </c>
      <c r="W41">
        <v>1.46463450593694E-2</v>
      </c>
      <c r="X41">
        <f t="shared" si="0"/>
        <v>0.12438372691162636</v>
      </c>
    </row>
    <row r="42" spans="17:24" x14ac:dyDescent="0.35">
      <c r="Q42">
        <v>3.9E-2</v>
      </c>
      <c r="R42">
        <v>0.79627169730199898</v>
      </c>
      <c r="S42">
        <v>0.18113816038414299</v>
      </c>
      <c r="T42">
        <v>2.2590142313857298E-2</v>
      </c>
      <c r="U42">
        <v>-0.135663222033409</v>
      </c>
      <c r="V42">
        <v>0.120468951036618</v>
      </c>
      <c r="W42">
        <v>1.51942709967908E-2</v>
      </c>
      <c r="X42">
        <f t="shared" si="0"/>
        <v>0.12612603385392071</v>
      </c>
    </row>
    <row r="43" spans="17:24" x14ac:dyDescent="0.35">
      <c r="Q43">
        <v>0.04</v>
      </c>
      <c r="R43">
        <v>0.79301709863949998</v>
      </c>
      <c r="S43">
        <v>0.18383724502589899</v>
      </c>
      <c r="T43">
        <v>2.3145656334600299E-2</v>
      </c>
      <c r="U43">
        <v>-0.138917820695908</v>
      </c>
      <c r="V43">
        <v>0.123168035678374</v>
      </c>
      <c r="W43">
        <v>1.57497850175338E-2</v>
      </c>
      <c r="X43">
        <f t="shared" si="0"/>
        <v>0.12787234066686642</v>
      </c>
    </row>
    <row r="44" spans="17:24" x14ac:dyDescent="0.35">
      <c r="Q44">
        <v>4.1000000000000002E-2</v>
      </c>
      <c r="R44">
        <v>0.78977346326187503</v>
      </c>
      <c r="S44">
        <v>0.186517832046042</v>
      </c>
      <c r="T44">
        <v>2.37087046920826E-2</v>
      </c>
      <c r="U44">
        <v>-0.142161456073534</v>
      </c>
      <c r="V44">
        <v>0.12584862269851699</v>
      </c>
      <c r="W44">
        <v>1.63128333750161E-2</v>
      </c>
      <c r="X44">
        <f t="shared" si="0"/>
        <v>0.12962266114024251</v>
      </c>
    </row>
    <row r="45" spans="17:24" x14ac:dyDescent="0.35">
      <c r="Q45">
        <v>4.2000000000000003E-2</v>
      </c>
      <c r="R45">
        <v>0.78654077209101703</v>
      </c>
      <c r="S45">
        <v>0.189179994056278</v>
      </c>
      <c r="T45">
        <v>2.4279233852703402E-2</v>
      </c>
      <c r="U45">
        <v>-0.14539414724439101</v>
      </c>
      <c r="V45">
        <v>0.12851078470875399</v>
      </c>
      <c r="W45">
        <v>1.6883362535636898E-2</v>
      </c>
      <c r="X45">
        <f t="shared" si="0"/>
        <v>0.13137700912728786</v>
      </c>
    </row>
    <row r="46" spans="17:24" x14ac:dyDescent="0.35">
      <c r="Q46">
        <v>4.2999999999999997E-2</v>
      </c>
      <c r="R46">
        <v>0.78331900588567605</v>
      </c>
      <c r="S46">
        <v>0.191823803618035</v>
      </c>
      <c r="T46">
        <v>2.48571904962878E-2</v>
      </c>
      <c r="U46">
        <v>-0.14861591344973199</v>
      </c>
      <c r="V46">
        <v>0.13115459427051099</v>
      </c>
      <c r="W46">
        <v>1.74613191792213E-2</v>
      </c>
      <c r="X46">
        <f t="shared" si="0"/>
        <v>0.13313539854506898</v>
      </c>
    </row>
    <row r="47" spans="17:24" x14ac:dyDescent="0.35">
      <c r="Q47">
        <v>4.3999999999999997E-2</v>
      </c>
      <c r="R47">
        <v>0.78010814524401495</v>
      </c>
      <c r="S47">
        <v>0.194449333239474</v>
      </c>
      <c r="T47">
        <v>2.54425215165104E-2</v>
      </c>
      <c r="U47">
        <v>-0.151826774091394</v>
      </c>
      <c r="V47">
        <v>0.13378012389194999</v>
      </c>
      <c r="W47">
        <v>1.8046650199443799E-2</v>
      </c>
      <c r="X47">
        <f t="shared" si="0"/>
        <v>0.13489784337484628</v>
      </c>
    </row>
    <row r="48" spans="17:24" x14ac:dyDescent="0.35">
      <c r="Q48">
        <v>4.4999999999999998E-2</v>
      </c>
      <c r="R48">
        <v>0.77690817060615003</v>
      </c>
      <c r="S48">
        <v>0.19705665537255099</v>
      </c>
      <c r="T48">
        <v>2.6035174021298201E-2</v>
      </c>
      <c r="U48">
        <v>-0.15502674872925801</v>
      </c>
      <c r="V48">
        <v>0.136387446025027</v>
      </c>
      <c r="W48">
        <v>1.86393027042316E-2</v>
      </c>
      <c r="X48">
        <f t="shared" si="0"/>
        <v>0.13666435766244425</v>
      </c>
    </row>
    <row r="49" spans="17:24" x14ac:dyDescent="0.35">
      <c r="Q49">
        <v>4.5999999999999999E-2</v>
      </c>
      <c r="R49">
        <v>0.77371906225667797</v>
      </c>
      <c r="S49">
        <v>0.19964584241010699</v>
      </c>
      <c r="T49">
        <v>2.6635095333213999E-2</v>
      </c>
      <c r="U49">
        <v>-0.15821585707873101</v>
      </c>
      <c r="V49">
        <v>0.13897663306258301</v>
      </c>
      <c r="W49">
        <v>1.9239224016147399E-2</v>
      </c>
      <c r="X49">
        <f t="shared" si="0"/>
        <v>0.13843495551862825</v>
      </c>
    </row>
    <row r="50" spans="17:24" x14ac:dyDescent="0.35">
      <c r="Q50">
        <v>4.7E-2</v>
      </c>
      <c r="R50">
        <v>0.77054080032717098</v>
      </c>
      <c r="S50">
        <v>0.20221696668300901</v>
      </c>
      <c r="T50">
        <v>2.7242232989818801E-2</v>
      </c>
      <c r="U50">
        <v>-0.161394119008237</v>
      </c>
      <c r="V50">
        <v>0.141547757335485</v>
      </c>
      <c r="W50">
        <v>1.9846361672752201E-2</v>
      </c>
      <c r="X50">
        <f t="shared" si="0"/>
        <v>0.14020965111947317</v>
      </c>
    </row>
    <row r="51" spans="17:24" x14ac:dyDescent="0.35">
      <c r="Q51">
        <v>4.8000000000000001E-2</v>
      </c>
      <c r="R51">
        <v>0.76737336479866503</v>
      </c>
      <c r="S51">
        <v>0.204770100457318</v>
      </c>
      <c r="T51">
        <v>2.78565347440153E-2</v>
      </c>
      <c r="U51">
        <v>-0.16456155453674301</v>
      </c>
      <c r="V51">
        <v>0.14410089110979399</v>
      </c>
      <c r="W51">
        <v>2.0460663426948699E-2</v>
      </c>
      <c r="X51">
        <f t="shared" si="0"/>
        <v>0.14198845870674887</v>
      </c>
    </row>
    <row r="52" spans="17:24" x14ac:dyDescent="0.35">
      <c r="Q52">
        <v>4.9000000000000002E-2</v>
      </c>
      <c r="R52">
        <v>0.76421673550412395</v>
      </c>
      <c r="S52">
        <v>0.207305315931504</v>
      </c>
      <c r="T52">
        <v>2.8477948564371601E-2</v>
      </c>
      <c r="U52">
        <v>-0.16771818383128501</v>
      </c>
      <c r="V52">
        <v>0.14663610658397999</v>
      </c>
      <c r="W52">
        <v>2.1082077247305001E-2</v>
      </c>
      <c r="X52">
        <f t="shared" si="0"/>
        <v>0.14377139258829871</v>
      </c>
    </row>
    <row r="53" spans="17:24" x14ac:dyDescent="0.35">
      <c r="Q53">
        <v>0.05</v>
      </c>
      <c r="R53">
        <v>0.76107089213087797</v>
      </c>
      <c r="S53">
        <v>0.20982268523369499</v>
      </c>
      <c r="T53">
        <v>2.9106422635425299E-2</v>
      </c>
      <c r="U53">
        <v>-0.17086402720453001</v>
      </c>
      <c r="V53">
        <v>0.14915347588617101</v>
      </c>
      <c r="W53">
        <v>2.1710551318358799E-2</v>
      </c>
      <c r="X53">
        <f t="shared" si="0"/>
        <v>0.14555846713842308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calculation of n</vt:lpstr>
      <vt:lpstr>calculation of 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Naveed Ziari</dc:creator>
  <cp:lastModifiedBy>Naveed Ziari</cp:lastModifiedBy>
  <dcterms:created xsi:type="dcterms:W3CDTF">2015-06-05T18:17:20Z</dcterms:created>
  <dcterms:modified xsi:type="dcterms:W3CDTF">2025-10-13T21:38:05Z</dcterms:modified>
</cp:coreProperties>
</file>