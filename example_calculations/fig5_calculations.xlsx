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\Dropbox\berkeley\manuscript\orbitrap_paper\"/>
    </mc:Choice>
  </mc:AlternateContent>
  <xr:revisionPtr revIDLastSave="0" documentId="13_ncr:1_{4865547B-2843-4147-9321-A76CD26556F9}" xr6:coauthVersionLast="47" xr6:coauthVersionMax="47" xr10:uidLastSave="{00000000-0000-0000-0000-000000000000}"/>
  <bookViews>
    <workbookView xWindow="-110" yWindow="-110" windowWidth="38620" windowHeight="21100" activeTab="2" xr2:uid="{DA017DFC-1403-43EA-B416-B9218A5189CB}"/>
  </bookViews>
  <sheets>
    <sheet name="citrate" sheetId="1" r:id="rId1"/>
    <sheet name="G3P" sheetId="2" r:id="rId2"/>
    <sheet name="glutami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3" l="1"/>
  <c r="N23" i="3"/>
  <c r="N24" i="3"/>
  <c r="N25" i="3"/>
  <c r="N21" i="3"/>
  <c r="N6" i="3"/>
  <c r="N7" i="3"/>
  <c r="N8" i="3"/>
  <c r="N9" i="3"/>
  <c r="N5" i="3"/>
  <c r="Q22" i="3"/>
  <c r="Q23" i="3"/>
  <c r="Q24" i="3"/>
  <c r="Q25" i="3"/>
  <c r="Q21" i="3"/>
  <c r="Q6" i="3"/>
  <c r="Q7" i="3"/>
  <c r="Q8" i="3"/>
  <c r="Q9" i="3"/>
  <c r="Q5" i="3"/>
  <c r="V9" i="3"/>
  <c r="BA52" i="3" l="1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BA6" i="3"/>
  <c r="BA5" i="3"/>
  <c r="BA4" i="3"/>
  <c r="BA3" i="3"/>
  <c r="V25" i="3"/>
  <c r="T9" i="2"/>
  <c r="T8" i="2"/>
  <c r="T7" i="2"/>
  <c r="T6" i="2"/>
  <c r="T5" i="2"/>
  <c r="S5" i="1"/>
  <c r="S6" i="1"/>
  <c r="S7" i="1"/>
  <c r="U5" i="1" s="1"/>
  <c r="S8" i="1"/>
  <c r="S9" i="1"/>
  <c r="V24" i="3"/>
  <c r="V23" i="3"/>
  <c r="V22" i="3"/>
  <c r="V21" i="3"/>
  <c r="V6" i="3"/>
  <c r="V7" i="3"/>
  <c r="V8" i="3"/>
  <c r="V5" i="3"/>
  <c r="V21" i="2"/>
  <c r="U21" i="2"/>
  <c r="T22" i="2"/>
  <c r="T23" i="2"/>
  <c r="T24" i="2"/>
  <c r="T25" i="2"/>
  <c r="T21" i="2"/>
  <c r="S21" i="2"/>
  <c r="R21" i="2"/>
  <c r="S5" i="2"/>
  <c r="R5" i="2"/>
  <c r="U21" i="1"/>
  <c r="T21" i="1"/>
  <c r="P21" i="1"/>
  <c r="O21" i="1"/>
  <c r="P5" i="1"/>
  <c r="O5" i="1"/>
  <c r="T5" i="1" l="1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3" i="3"/>
  <c r="G25" i="3"/>
  <c r="I25" i="3" s="1"/>
  <c r="G24" i="3"/>
  <c r="I24" i="3" s="1"/>
  <c r="G23" i="3"/>
  <c r="I23" i="3" s="1"/>
  <c r="G22" i="3"/>
  <c r="I22" i="3" s="1"/>
  <c r="G21" i="3"/>
  <c r="I21" i="3" s="1"/>
  <c r="F25" i="3"/>
  <c r="H25" i="3" s="1"/>
  <c r="F24" i="3"/>
  <c r="H24" i="3" s="1"/>
  <c r="F23" i="3"/>
  <c r="H23" i="3" s="1"/>
  <c r="F22" i="3"/>
  <c r="H22" i="3" s="1"/>
  <c r="F21" i="3"/>
  <c r="H21" i="3" s="1"/>
  <c r="G6" i="3"/>
  <c r="I6" i="3" s="1"/>
  <c r="G7" i="3"/>
  <c r="I7" i="3" s="1"/>
  <c r="G8" i="3"/>
  <c r="I8" i="3" s="1"/>
  <c r="G9" i="3"/>
  <c r="I9" i="3" s="1"/>
  <c r="G5" i="3"/>
  <c r="I5" i="3" s="1"/>
  <c r="F6" i="3"/>
  <c r="H6" i="3" s="1"/>
  <c r="F7" i="3"/>
  <c r="H7" i="3" s="1"/>
  <c r="F8" i="3"/>
  <c r="H8" i="3" s="1"/>
  <c r="F9" i="3"/>
  <c r="H9" i="3" s="1"/>
  <c r="F5" i="3"/>
  <c r="H5" i="3" s="1"/>
  <c r="Q25" i="2"/>
  <c r="Q24" i="2"/>
  <c r="Q23" i="2"/>
  <c r="Q22" i="2"/>
  <c r="Q21" i="2"/>
  <c r="Q6" i="2"/>
  <c r="Q7" i="2"/>
  <c r="Q8" i="2"/>
  <c r="Q9" i="2"/>
  <c r="Q5" i="2"/>
  <c r="N25" i="2"/>
  <c r="N24" i="2"/>
  <c r="N23" i="2"/>
  <c r="N22" i="2"/>
  <c r="N21" i="2"/>
  <c r="N6" i="2"/>
  <c r="N7" i="2"/>
  <c r="N8" i="2"/>
  <c r="N9" i="2"/>
  <c r="N5" i="2"/>
  <c r="J25" i="2"/>
  <c r="J24" i="2"/>
  <c r="J23" i="2"/>
  <c r="J22" i="2"/>
  <c r="J21" i="2"/>
  <c r="J6" i="2"/>
  <c r="J7" i="2"/>
  <c r="J8" i="2"/>
  <c r="J9" i="2"/>
  <c r="J5" i="2"/>
  <c r="I25" i="2"/>
  <c r="I24" i="2"/>
  <c r="I23" i="2"/>
  <c r="I22" i="2"/>
  <c r="I21" i="2"/>
  <c r="I6" i="2"/>
  <c r="I7" i="2"/>
  <c r="I8" i="2"/>
  <c r="I9" i="2"/>
  <c r="I5" i="2"/>
  <c r="H25" i="2"/>
  <c r="H24" i="2"/>
  <c r="H23" i="2"/>
  <c r="H22" i="2"/>
  <c r="H21" i="2"/>
  <c r="H6" i="2"/>
  <c r="H7" i="2"/>
  <c r="H8" i="2"/>
  <c r="H9" i="2"/>
  <c r="H5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3" i="2"/>
  <c r="G25" i="2"/>
  <c r="G24" i="2"/>
  <c r="G23" i="2"/>
  <c r="G22" i="2"/>
  <c r="G21" i="2"/>
  <c r="G6" i="2"/>
  <c r="G7" i="2"/>
  <c r="G8" i="2"/>
  <c r="G9" i="2"/>
  <c r="G5" i="2"/>
  <c r="F25" i="2"/>
  <c r="F24" i="2"/>
  <c r="F23" i="2"/>
  <c r="F22" i="2"/>
  <c r="F21" i="2"/>
  <c r="F6" i="2"/>
  <c r="F7" i="2"/>
  <c r="F8" i="2"/>
  <c r="F9" i="2"/>
  <c r="F5" i="2"/>
  <c r="I31" i="1"/>
  <c r="G31" i="1"/>
  <c r="F31" i="1"/>
  <c r="H31" i="1" s="1"/>
  <c r="I30" i="1"/>
  <c r="G30" i="1"/>
  <c r="F30" i="1"/>
  <c r="H30" i="1" s="1"/>
  <c r="N30" i="1" s="1"/>
  <c r="I29" i="1"/>
  <c r="G29" i="1"/>
  <c r="F29" i="1"/>
  <c r="H29" i="1" s="1"/>
  <c r="N29" i="1" s="1"/>
  <c r="I28" i="1"/>
  <c r="G28" i="1"/>
  <c r="F28" i="1"/>
  <c r="H28" i="1" s="1"/>
  <c r="N28" i="1" s="1"/>
  <c r="I27" i="1"/>
  <c r="J27" i="1" s="1"/>
  <c r="S27" i="1" s="1"/>
  <c r="G27" i="1"/>
  <c r="F27" i="1"/>
  <c r="H27" i="1" s="1"/>
  <c r="N27" i="1" s="1"/>
  <c r="I25" i="1"/>
  <c r="G25" i="1"/>
  <c r="F25" i="1"/>
  <c r="H25" i="1" s="1"/>
  <c r="I24" i="1"/>
  <c r="G24" i="1"/>
  <c r="F24" i="1"/>
  <c r="H24" i="1" s="1"/>
  <c r="N24" i="1" s="1"/>
  <c r="I23" i="1"/>
  <c r="J23" i="1" s="1"/>
  <c r="S23" i="1" s="1"/>
  <c r="G23" i="1"/>
  <c r="F23" i="1"/>
  <c r="H23" i="1" s="1"/>
  <c r="N23" i="1" s="1"/>
  <c r="I22" i="1"/>
  <c r="G22" i="1"/>
  <c r="F22" i="1"/>
  <c r="H22" i="1" s="1"/>
  <c r="I21" i="1"/>
  <c r="G21" i="1"/>
  <c r="F21" i="1"/>
  <c r="H21" i="1" s="1"/>
  <c r="N21" i="1" s="1"/>
  <c r="I15" i="1"/>
  <c r="G15" i="1"/>
  <c r="F15" i="1"/>
  <c r="H15" i="1" s="1"/>
  <c r="N15" i="1" s="1"/>
  <c r="I14" i="1"/>
  <c r="G14" i="1"/>
  <c r="F14" i="1"/>
  <c r="H14" i="1" s="1"/>
  <c r="J14" i="1" s="1"/>
  <c r="S14" i="1" s="1"/>
  <c r="I13" i="1"/>
  <c r="G13" i="1"/>
  <c r="F13" i="1"/>
  <c r="H13" i="1" s="1"/>
  <c r="N13" i="1" s="1"/>
  <c r="I12" i="1"/>
  <c r="G12" i="1"/>
  <c r="F12" i="1"/>
  <c r="H12" i="1" s="1"/>
  <c r="I11" i="1"/>
  <c r="G11" i="1"/>
  <c r="F11" i="1"/>
  <c r="H11" i="1" s="1"/>
  <c r="N11" i="1" s="1"/>
  <c r="I9" i="1"/>
  <c r="G9" i="1"/>
  <c r="F9" i="1"/>
  <c r="H9" i="1" s="1"/>
  <c r="N9" i="1" s="1"/>
  <c r="I8" i="1"/>
  <c r="G8" i="1"/>
  <c r="F8" i="1"/>
  <c r="H8" i="1" s="1"/>
  <c r="I7" i="1"/>
  <c r="G7" i="1"/>
  <c r="F7" i="1"/>
  <c r="H7" i="1" s="1"/>
  <c r="N7" i="1" s="1"/>
  <c r="I6" i="1"/>
  <c r="G6" i="1"/>
  <c r="F6" i="1"/>
  <c r="H6" i="1" s="1"/>
  <c r="N6" i="1" s="1"/>
  <c r="I5" i="1"/>
  <c r="G5" i="1"/>
  <c r="F5" i="1"/>
  <c r="H5" i="1" s="1"/>
  <c r="N5" i="1" s="1"/>
  <c r="J22" i="3" l="1"/>
  <c r="J8" i="1"/>
  <c r="N8" i="1"/>
  <c r="J22" i="1"/>
  <c r="S22" i="1" s="1"/>
  <c r="N22" i="1"/>
  <c r="J15" i="1"/>
  <c r="S15" i="1" s="1"/>
  <c r="J13" i="1"/>
  <c r="S13" i="1" s="1"/>
  <c r="J6" i="1"/>
  <c r="J21" i="1"/>
  <c r="S21" i="1" s="1"/>
  <c r="J29" i="1"/>
  <c r="S29" i="1" s="1"/>
  <c r="J8" i="3"/>
  <c r="J23" i="3"/>
  <c r="J24" i="3"/>
  <c r="J21" i="3"/>
  <c r="J5" i="3"/>
  <c r="J6" i="3"/>
  <c r="J7" i="3"/>
  <c r="J25" i="3"/>
  <c r="J9" i="3"/>
  <c r="N12" i="1"/>
  <c r="J12" i="1"/>
  <c r="S12" i="1" s="1"/>
  <c r="J7" i="1"/>
  <c r="J9" i="1"/>
  <c r="J24" i="1"/>
  <c r="S24" i="1" s="1"/>
  <c r="N25" i="1"/>
  <c r="J25" i="1"/>
  <c r="S25" i="1" s="1"/>
  <c r="J30" i="1"/>
  <c r="S30" i="1" s="1"/>
  <c r="N31" i="1"/>
  <c r="J31" i="1"/>
  <c r="S31" i="1" s="1"/>
  <c r="J11" i="1"/>
  <c r="S11" i="1" s="1"/>
  <c r="J5" i="1"/>
  <c r="J28" i="1"/>
  <c r="S28" i="1" s="1"/>
  <c r="N14" i="1"/>
  <c r="R21" i="3" l="1"/>
  <c r="S21" i="3"/>
  <c r="R5" i="3"/>
  <c r="S5" i="3"/>
</calcChain>
</file>

<file path=xl/sharedStrings.xml><?xml version="1.0" encoding="utf-8"?>
<sst xmlns="http://schemas.openxmlformats.org/spreadsheetml/2006/main" count="171" uniqueCount="28">
  <si>
    <t/>
  </si>
  <si>
    <t>OBSERVED (UNCORRECTED)</t>
  </si>
  <si>
    <t>M0</t>
  </si>
  <si>
    <t>M1</t>
  </si>
  <si>
    <t>M2</t>
  </si>
  <si>
    <t>M1_ratio</t>
  </si>
  <si>
    <t>M2_ratio</t>
  </si>
  <si>
    <t>EM1</t>
  </si>
  <si>
    <t>EM2</t>
  </si>
  <si>
    <t>EM2/EM1</t>
  </si>
  <si>
    <t>p</t>
  </si>
  <si>
    <t>EM1(n=2)</t>
  </si>
  <si>
    <t>EM1(n=3)</t>
  </si>
  <si>
    <t>n</t>
  </si>
  <si>
    <t>EM2/EM1(n=2)</t>
  </si>
  <si>
    <t>EM2/EM1(n=3)</t>
  </si>
  <si>
    <t>fast</t>
  </si>
  <si>
    <t>fed</t>
  </si>
  <si>
    <t>CORRECTED</t>
  </si>
  <si>
    <t>EM0</t>
  </si>
  <si>
    <t>n=2</t>
  </si>
  <si>
    <t>n=3</t>
  </si>
  <si>
    <t>MIDA p</t>
  </si>
  <si>
    <t>n=4</t>
  </si>
  <si>
    <t>difference</t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</si>
  <si>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EM1</t>
    </r>
  </si>
  <si>
    <r>
      <t>n</t>
    </r>
    <r>
      <rPr>
        <b/>
        <vertAlign val="subscript"/>
        <sz val="11"/>
        <color theme="1"/>
        <rFont val="Aptos Narrow"/>
        <family val="2"/>
        <scheme val="minor"/>
      </rPr>
      <t>EM1/EM2</t>
    </r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</si>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</sst>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  <xf numFmtId="11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3E00-DB0D-4F75-B584-7EC31B2BB916}">
  <dimension ref="A1:AO53"/>
  <sheetViews>
    <sheetView workbookViewId="0">
      <selection activeCell="U21" sqref="U21"/>
    </sheetView>
  </sheetViews>
  <sheetFormatPr defaultRowHeight="14.5" x14ac:dyDescent="0.35"/>
  <cols>
    <col min="15" max="16" width="8.7265625" style="6"/>
    <col min="17" max="17" width="20" customWidth="1"/>
    <col min="18" max="18" width="18.453125" customWidth="1"/>
    <col min="19" max="19" width="15.26953125" customWidth="1"/>
    <col min="33" max="33" width="11.6328125" customWidth="1"/>
  </cols>
  <sheetData>
    <row r="1" spans="1:41" x14ac:dyDescent="0.35">
      <c r="A1" s="1" t="s">
        <v>0</v>
      </c>
      <c r="Z1" s="2" t="s">
        <v>20</v>
      </c>
      <c r="AI1" s="2" t="s">
        <v>21</v>
      </c>
    </row>
    <row r="2" spans="1:41" x14ac:dyDescent="0.35">
      <c r="Z2" t="s">
        <v>10</v>
      </c>
      <c r="AA2" t="s">
        <v>2</v>
      </c>
      <c r="AB2" t="s">
        <v>3</v>
      </c>
      <c r="AC2" t="s">
        <v>4</v>
      </c>
      <c r="AD2" t="s">
        <v>19</v>
      </c>
      <c r="AE2" t="s">
        <v>7</v>
      </c>
      <c r="AF2" t="s">
        <v>8</v>
      </c>
      <c r="AI2" t="s">
        <v>10</v>
      </c>
      <c r="AJ2" t="s">
        <v>2</v>
      </c>
      <c r="AK2" t="s">
        <v>3</v>
      </c>
      <c r="AL2" t="s">
        <v>4</v>
      </c>
      <c r="AM2" t="s">
        <v>19</v>
      </c>
      <c r="AN2" t="s">
        <v>7</v>
      </c>
      <c r="AO2" t="s">
        <v>8</v>
      </c>
    </row>
    <row r="3" spans="1:41" x14ac:dyDescent="0.35">
      <c r="A3" s="2" t="s">
        <v>1</v>
      </c>
      <c r="Z3">
        <v>0</v>
      </c>
      <c r="AA3">
        <v>0.92050565534123396</v>
      </c>
      <c r="AB3">
        <v>6.4403332360592105E-2</v>
      </c>
      <c r="AC3">
        <v>1.50910122981736E-2</v>
      </c>
      <c r="AI3">
        <v>0</v>
      </c>
      <c r="AJ3">
        <v>0.92050565534123396</v>
      </c>
      <c r="AK3">
        <v>6.4403332360592105E-2</v>
      </c>
      <c r="AL3">
        <v>1.50910122981736E-2</v>
      </c>
    </row>
    <row r="4" spans="1:41" ht="16.5" x14ac:dyDescent="0.45"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s="7" t="s">
        <v>25</v>
      </c>
      <c r="Q4" t="s">
        <v>14</v>
      </c>
      <c r="R4" t="s">
        <v>15</v>
      </c>
      <c r="S4" s="7" t="s">
        <v>26</v>
      </c>
      <c r="Z4">
        <v>1E-3</v>
      </c>
      <c r="AA4">
        <v>0.91869303656977697</v>
      </c>
      <c r="AB4">
        <v>6.6116311743011594E-2</v>
      </c>
      <c r="AC4">
        <v>1.51906516872114E-2</v>
      </c>
      <c r="AD4">
        <v>-1.8126187714573301E-3</v>
      </c>
      <c r="AE4">
        <v>1.71297938241951E-3</v>
      </c>
      <c r="AF4" s="5">
        <v>9.9639389037809196E-5</v>
      </c>
      <c r="AI4">
        <v>1E-3</v>
      </c>
      <c r="AJ4">
        <v>0.91778813472124499</v>
      </c>
      <c r="AK4">
        <v>6.69701816413696E-2</v>
      </c>
      <c r="AL4">
        <v>1.5241683637385201E-2</v>
      </c>
      <c r="AM4">
        <v>-2.7175206199890798E-3</v>
      </c>
      <c r="AN4">
        <v>2.5668492807775002E-3</v>
      </c>
      <c r="AO4">
        <v>1.5067133921160299E-4</v>
      </c>
    </row>
    <row r="5" spans="1:41" x14ac:dyDescent="0.35">
      <c r="A5" t="s">
        <v>16</v>
      </c>
      <c r="B5">
        <v>1</v>
      </c>
      <c r="C5">
        <v>0.83806996341196105</v>
      </c>
      <c r="D5">
        <v>0.145089488605113</v>
      </c>
      <c r="E5">
        <v>1.68405479829262E-2</v>
      </c>
      <c r="F5">
        <f>D5/SUM(C5:E5)</f>
        <v>0.14508948860511298</v>
      </c>
      <c r="G5">
        <f>E5/SUM(C5:E5)</f>
        <v>1.6840547982926196E-2</v>
      </c>
      <c r="H5">
        <f>F5-0.0644</f>
        <v>8.0689488605112977E-2</v>
      </c>
      <c r="I5">
        <f>E5-0.0151</f>
        <v>1.740547982926199E-3</v>
      </c>
      <c r="J5">
        <f>I5/H5</f>
        <v>2.1570938334288903E-2</v>
      </c>
      <c r="K5">
        <v>3.3574678927720883E-2</v>
      </c>
      <c r="L5">
        <v>5.4710348413474198E-2</v>
      </c>
      <c r="M5">
        <v>7.9313446399450704E-2</v>
      </c>
      <c r="N5" s="3">
        <f>H5*SLOPE($L$16:$M$16,L5:M5)+INTERCEPT($L$16:$M$16,L5:M5)</f>
        <v>3.0559296315629276</v>
      </c>
      <c r="O5" s="6">
        <f>AVERAGE(N5:N9)</f>
        <v>2.7559285844269032</v>
      </c>
      <c r="P5" s="6">
        <f>STDEV(N5:N9)/SQRT(5)</f>
        <v>0.15275456524555633</v>
      </c>
      <c r="Q5">
        <v>7.5780049817521802E-2</v>
      </c>
      <c r="R5">
        <v>9.3967345933872889E-2</v>
      </c>
      <c r="S5" s="3">
        <f>J5*SLOPE($L$32:$M$32,Q5:R5)+INTERCEPT($L$32:$M$32,Q5:R5)</f>
        <v>-0.98060311639709874</v>
      </c>
      <c r="T5" s="6">
        <f>AVERAGE(S5:S9)</f>
        <v>-0.1549930282341469</v>
      </c>
      <c r="U5" s="6">
        <f>STDEV(S5:S9)/SQRT(5)</f>
        <v>0.24274109629123106</v>
      </c>
      <c r="Z5">
        <v>2E-3</v>
      </c>
      <c r="AA5">
        <v>0.91688223992028495</v>
      </c>
      <c r="AB5">
        <v>6.7825846190768105E-2</v>
      </c>
      <c r="AC5">
        <v>1.52919138889464E-2</v>
      </c>
      <c r="AD5">
        <v>-3.6234154209488999E-3</v>
      </c>
      <c r="AE5">
        <v>3.4225138301759899E-3</v>
      </c>
      <c r="AF5">
        <v>2.00901590772809E-4</v>
      </c>
      <c r="AI5">
        <v>2E-3</v>
      </c>
      <c r="AJ5">
        <v>0.91507616089711896</v>
      </c>
      <c r="AK5">
        <v>6.95266353354419E-2</v>
      </c>
      <c r="AL5">
        <v>1.5397203767438399E-2</v>
      </c>
      <c r="AM5">
        <v>-5.42949444411466E-3</v>
      </c>
      <c r="AN5">
        <v>5.1233029748498603E-3</v>
      </c>
      <c r="AO5">
        <v>3.0619146926484398E-4</v>
      </c>
    </row>
    <row r="6" spans="1:41" x14ac:dyDescent="0.35">
      <c r="B6">
        <v>2</v>
      </c>
      <c r="C6">
        <v>0.82420098688847099</v>
      </c>
      <c r="D6">
        <v>0.15670215669793799</v>
      </c>
      <c r="E6">
        <v>1.9096856413590799E-2</v>
      </c>
      <c r="F6">
        <f t="shared" ref="F6:F15" si="0">D6/SUM(C6:E6)</f>
        <v>0.15670215669793802</v>
      </c>
      <c r="G6">
        <f t="shared" ref="G6:G15" si="1">E6/SUM(C6:E6)</f>
        <v>1.9096856413590803E-2</v>
      </c>
      <c r="H6">
        <f t="shared" ref="H6:H15" si="2">F6-0.0644</f>
        <v>9.2302156697938023E-2</v>
      </c>
      <c r="I6">
        <f t="shared" ref="I6:I15" si="3">E6-0.0151</f>
        <v>3.9968564135907988E-3</v>
      </c>
      <c r="J6">
        <f t="shared" ref="J6:J15" si="4">I6/H6</f>
        <v>4.3301874588593296E-2</v>
      </c>
      <c r="K6">
        <v>4.5534384183177054E-2</v>
      </c>
      <c r="L6">
        <v>7.3675983381834106E-2</v>
      </c>
      <c r="M6">
        <v>0.10546819682172601</v>
      </c>
      <c r="N6" s="3">
        <f t="shared" ref="N6:N15" si="5">H6*SLOPE($L$16:$M$16,L6:M6)+INTERCEPT($L$16:$M$16,L6:M6)</f>
        <v>2.5858721775166611</v>
      </c>
      <c r="Q6">
        <v>8.2700225702380017E-2</v>
      </c>
      <c r="R6">
        <v>0.1078467389923075</v>
      </c>
      <c r="S6" s="3">
        <f t="shared" ref="S6:S9" si="6">J6*SLOPE($L$32:$M$32,Q6:R6)+INTERCEPT($L$32:$M$32,Q6:R6)</f>
        <v>0.43324795531124916</v>
      </c>
      <c r="Z6">
        <v>3.0000000000000001E-3</v>
      </c>
      <c r="AA6">
        <v>0.91507326502540198</v>
      </c>
      <c r="AB6">
        <v>6.9531935893813804E-2</v>
      </c>
      <c r="AC6">
        <v>1.53947990807837E-2</v>
      </c>
      <c r="AD6">
        <v>-5.4323903158318698E-3</v>
      </c>
      <c r="AE6">
        <v>5.12860353322176E-3</v>
      </c>
      <c r="AF6">
        <v>3.0378678261007398E-4</v>
      </c>
      <c r="AI6">
        <v>3.0000000000000001E-3</v>
      </c>
      <c r="AJ6">
        <v>0.91236973109209096</v>
      </c>
      <c r="AK6">
        <v>7.2072710857053995E-2</v>
      </c>
      <c r="AL6">
        <v>1.55575580508548E-2</v>
      </c>
      <c r="AM6">
        <v>-8.1359242491431099E-3</v>
      </c>
      <c r="AN6">
        <v>7.66937849646187E-3</v>
      </c>
      <c r="AO6">
        <v>4.6654575268121598E-4</v>
      </c>
    </row>
    <row r="7" spans="1:41" x14ac:dyDescent="0.35">
      <c r="B7">
        <v>3</v>
      </c>
      <c r="C7">
        <v>0.82832296516417903</v>
      </c>
      <c r="D7">
        <v>0.15401753967572901</v>
      </c>
      <c r="E7">
        <v>1.7659495160091999E-2</v>
      </c>
      <c r="F7">
        <f t="shared" si="0"/>
        <v>0.15401753967572901</v>
      </c>
      <c r="G7">
        <f t="shared" si="1"/>
        <v>1.7659495160091999E-2</v>
      </c>
      <c r="H7">
        <f t="shared" si="2"/>
        <v>8.961753967572901E-2</v>
      </c>
      <c r="I7">
        <f t="shared" si="3"/>
        <v>2.5594951600919989E-3</v>
      </c>
      <c r="J7">
        <f t="shared" si="4"/>
        <v>2.8560203386002833E-2</v>
      </c>
      <c r="K7">
        <v>4.3843577736610684E-2</v>
      </c>
      <c r="L7">
        <v>7.2114428005946904E-2</v>
      </c>
      <c r="M7">
        <v>0.10334189066834799</v>
      </c>
      <c r="N7" s="3">
        <f t="shared" si="5"/>
        <v>2.5605038058649714</v>
      </c>
      <c r="Q7">
        <v>8.1534372877775277E-2</v>
      </c>
      <c r="R7">
        <v>0.10667584610400016</v>
      </c>
      <c r="S7" s="3">
        <f t="shared" si="6"/>
        <v>-0.10704317185818191</v>
      </c>
      <c r="Z7">
        <v>4.0000000000000001E-3</v>
      </c>
      <c r="AA7">
        <v>0.913266111518798</v>
      </c>
      <c r="AB7">
        <v>7.1234581040095904E-2</v>
      </c>
      <c r="AC7">
        <v>1.5499307441105401E-2</v>
      </c>
      <c r="AD7">
        <v>-7.2395438224358497E-3</v>
      </c>
      <c r="AE7">
        <v>6.8312486795038497E-3</v>
      </c>
      <c r="AF7">
        <v>4.0829514293183898E-4</v>
      </c>
      <c r="AI7">
        <v>4.0000000000000001E-3</v>
      </c>
      <c r="AJ7">
        <v>0.90966884248645297</v>
      </c>
      <c r="AK7">
        <v>7.4608425654191304E-2</v>
      </c>
      <c r="AL7">
        <v>1.5722731859354799E-2</v>
      </c>
      <c r="AM7">
        <v>-1.08368128547804E-2</v>
      </c>
      <c r="AN7">
        <v>1.02050932935991E-2</v>
      </c>
      <c r="AO7">
        <v>6.3171956118118701E-4</v>
      </c>
    </row>
    <row r="8" spans="1:41" x14ac:dyDescent="0.35">
      <c r="B8">
        <v>4</v>
      </c>
      <c r="C8">
        <v>0.83403068805593805</v>
      </c>
      <c r="D8">
        <v>0.14889945857922601</v>
      </c>
      <c r="E8">
        <v>1.70698533648353E-2</v>
      </c>
      <c r="F8">
        <f t="shared" si="0"/>
        <v>0.1488994585792261</v>
      </c>
      <c r="G8">
        <f t="shared" si="1"/>
        <v>1.7069853364835311E-2</v>
      </c>
      <c r="H8">
        <f t="shared" si="2"/>
        <v>8.4499458579226097E-2</v>
      </c>
      <c r="I8">
        <f t="shared" si="3"/>
        <v>1.9698533648352997E-3</v>
      </c>
      <c r="J8">
        <f t="shared" si="4"/>
        <v>2.3312023508273477E-2</v>
      </c>
      <c r="K8">
        <v>4.3799842630698568E-2</v>
      </c>
      <c r="L8">
        <v>7.2114428005946904E-2</v>
      </c>
      <c r="M8">
        <v>0.10334189066834799</v>
      </c>
      <c r="N8" s="3">
        <f t="shared" si="5"/>
        <v>2.3966070092589105</v>
      </c>
      <c r="Q8">
        <v>8.1534372877775277E-2</v>
      </c>
      <c r="R8">
        <v>0.10667584610400016</v>
      </c>
      <c r="S8" s="3">
        <f t="shared" si="6"/>
        <v>-0.31578908863504851</v>
      </c>
      <c r="Z8">
        <v>5.0000000000000001E-3</v>
      </c>
      <c r="AA8">
        <v>0.91146077903517198</v>
      </c>
      <c r="AB8">
        <v>7.2933781815556195E-2</v>
      </c>
      <c r="AC8">
        <v>1.56054391492714E-2</v>
      </c>
      <c r="AD8">
        <v>-9.0448763060618706E-3</v>
      </c>
      <c r="AE8">
        <v>8.5304494549641001E-3</v>
      </c>
      <c r="AF8">
        <v>5.1442685109782699E-4</v>
      </c>
      <c r="AI8">
        <v>5.0000000000000001E-3</v>
      </c>
      <c r="AJ8">
        <v>0.90697349221781198</v>
      </c>
      <c r="AK8">
        <v>7.7133797208138594E-2</v>
      </c>
      <c r="AL8">
        <v>1.5892710574049201E-2</v>
      </c>
      <c r="AM8">
        <v>-1.3532163123422199E-2</v>
      </c>
      <c r="AN8">
        <v>1.27304648475465E-2</v>
      </c>
      <c r="AO8">
        <v>8.0169827587555796E-4</v>
      </c>
    </row>
    <row r="9" spans="1:41" x14ac:dyDescent="0.35">
      <c r="B9">
        <v>5</v>
      </c>
      <c r="C9">
        <v>0.82123554614897898</v>
      </c>
      <c r="D9">
        <v>0.15978911622143999</v>
      </c>
      <c r="E9">
        <v>1.8975337629580501E-2</v>
      </c>
      <c r="F9">
        <f t="shared" si="0"/>
        <v>0.15978911622144007</v>
      </c>
      <c r="G9">
        <f t="shared" si="1"/>
        <v>1.8975337629580511E-2</v>
      </c>
      <c r="H9">
        <f t="shared" si="2"/>
        <v>9.5389116221440071E-2</v>
      </c>
      <c r="I9">
        <f t="shared" si="3"/>
        <v>3.8753376295805001E-3</v>
      </c>
      <c r="J9">
        <f t="shared" si="4"/>
        <v>4.0626622649319218E-2</v>
      </c>
      <c r="K9">
        <v>3.8264149957200982E-2</v>
      </c>
      <c r="L9">
        <v>6.2672881820083806E-2</v>
      </c>
      <c r="M9">
        <v>9.0381355515290807E-2</v>
      </c>
      <c r="N9" s="3">
        <f t="shared" si="5"/>
        <v>3.1807302979310443</v>
      </c>
      <c r="Q9">
        <v>7.8641716341871254E-2</v>
      </c>
      <c r="R9">
        <v>9.9705303995841876E-2</v>
      </c>
      <c r="S9" s="3">
        <f t="shared" si="6"/>
        <v>0.19522228040834544</v>
      </c>
      <c r="Z9">
        <v>6.0000000000000001E-3</v>
      </c>
      <c r="AA9">
        <v>0.90965726721024898</v>
      </c>
      <c r="AB9">
        <v>7.4629538404130905E-2</v>
      </c>
      <c r="AC9">
        <v>1.57131943856192E-2</v>
      </c>
      <c r="AD9">
        <v>-1.0848388130984399E-2</v>
      </c>
      <c r="AE9">
        <v>1.0226206043538799E-2</v>
      </c>
      <c r="AF9">
        <v>6.2218208744556E-4</v>
      </c>
      <c r="AI9">
        <v>6.0000000000000001E-3</v>
      </c>
      <c r="AJ9">
        <v>0.90428367738132998</v>
      </c>
      <c r="AK9">
        <v>7.9648843033040206E-2</v>
      </c>
      <c r="AL9">
        <v>1.6067479585628999E-2</v>
      </c>
      <c r="AM9">
        <v>-1.62219779599036E-2</v>
      </c>
      <c r="AN9">
        <v>1.5245510672448099E-2</v>
      </c>
      <c r="AO9">
        <v>9.7646728745543604E-4</v>
      </c>
    </row>
    <row r="10" spans="1:41" x14ac:dyDescent="0.35">
      <c r="N10" s="3"/>
      <c r="Z10">
        <v>7.0000000000000001E-3</v>
      </c>
      <c r="AA10">
        <v>0.90785557568078401</v>
      </c>
      <c r="AB10">
        <v>7.6321850987751003E-2</v>
      </c>
      <c r="AC10">
        <v>1.58225733314643E-2</v>
      </c>
      <c r="AD10">
        <v>-1.26500796604495E-2</v>
      </c>
      <c r="AE10">
        <v>1.19185186271588E-2</v>
      </c>
      <c r="AF10">
        <v>7.3156103329070205E-4</v>
      </c>
      <c r="AI10">
        <v>7.0000000000000001E-3</v>
      </c>
      <c r="AJ10">
        <v>0.90159939502998299</v>
      </c>
      <c r="AK10">
        <v>8.2153580675461399E-2</v>
      </c>
      <c r="AL10">
        <v>1.6247024294554602E-2</v>
      </c>
      <c r="AM10">
        <v>-1.8906260311250402E-2</v>
      </c>
      <c r="AN10">
        <v>1.77502483148693E-2</v>
      </c>
      <c r="AO10">
        <v>1.1560119963809599E-3</v>
      </c>
    </row>
    <row r="11" spans="1:41" x14ac:dyDescent="0.35">
      <c r="A11" t="s">
        <v>17</v>
      </c>
      <c r="B11">
        <v>1</v>
      </c>
      <c r="C11">
        <v>0.847720315695902</v>
      </c>
      <c r="D11">
        <v>0.13430900659921999</v>
      </c>
      <c r="E11">
        <v>1.7970677704877699E-2</v>
      </c>
      <c r="F11">
        <f t="shared" si="0"/>
        <v>0.13430900659922004</v>
      </c>
      <c r="G11">
        <f t="shared" si="1"/>
        <v>1.7970677704877706E-2</v>
      </c>
      <c r="H11">
        <f t="shared" si="2"/>
        <v>6.9909006599220044E-2</v>
      </c>
      <c r="I11">
        <f t="shared" si="3"/>
        <v>2.8706777048776982E-3</v>
      </c>
      <c r="J11">
        <f t="shared" si="4"/>
        <v>4.1063059604536357E-2</v>
      </c>
      <c r="K11">
        <v>3.8786612774880047E-2</v>
      </c>
      <c r="L11">
        <v>6.4255070295660702E-2</v>
      </c>
      <c r="M11">
        <v>9.2565667631643297E-2</v>
      </c>
      <c r="N11" s="3">
        <f t="shared" si="5"/>
        <v>2.1997109505129808</v>
      </c>
      <c r="Q11">
        <v>7.8641716341871254E-2</v>
      </c>
      <c r="R11">
        <v>0.10086057908326206</v>
      </c>
      <c r="S11" s="3">
        <f t="shared" ref="S11:S15" si="7">J11*SLOPE($L$32:$M$32,Q11:R11)+INTERCEPT($L$32:$M$32,Q11:R11)</f>
        <v>0.30870476249304901</v>
      </c>
      <c r="Z11">
        <v>8.0000000000000002E-3</v>
      </c>
      <c r="AA11">
        <v>0.90605570408455705</v>
      </c>
      <c r="AB11">
        <v>7.8010719746341495E-2</v>
      </c>
      <c r="AC11">
        <v>1.5933576169100998E-2</v>
      </c>
      <c r="AD11">
        <v>-1.4449951256676899E-2</v>
      </c>
      <c r="AE11">
        <v>1.36073873857494E-2</v>
      </c>
      <c r="AF11">
        <v>8.4256387092737205E-4</v>
      </c>
      <c r="AI11">
        <v>8.0000000000000002E-3</v>
      </c>
      <c r="AJ11">
        <v>0.89892064217480505</v>
      </c>
      <c r="AK11">
        <v>8.4648027713952301E-2</v>
      </c>
      <c r="AL11">
        <v>1.6431330111242301E-2</v>
      </c>
      <c r="AM11">
        <v>-2.1585013166428899E-2</v>
      </c>
      <c r="AN11">
        <v>2.0244695353360102E-2</v>
      </c>
      <c r="AO11">
        <v>1.3403178130686601E-3</v>
      </c>
    </row>
    <row r="12" spans="1:41" x14ac:dyDescent="0.35">
      <c r="B12">
        <v>2</v>
      </c>
      <c r="C12">
        <v>0.82090459035573404</v>
      </c>
      <c r="D12">
        <v>0.158756536252706</v>
      </c>
      <c r="E12">
        <v>2.03388733915606E-2</v>
      </c>
      <c r="F12">
        <f t="shared" si="0"/>
        <v>0.15875653625270589</v>
      </c>
      <c r="G12">
        <f t="shared" si="1"/>
        <v>2.0338873391560586E-2</v>
      </c>
      <c r="H12">
        <f t="shared" si="2"/>
        <v>9.4356536252705889E-2</v>
      </c>
      <c r="I12">
        <f t="shared" si="3"/>
        <v>5.2388733915605997E-3</v>
      </c>
      <c r="J12">
        <f t="shared" si="4"/>
        <v>5.5522103710227741E-2</v>
      </c>
      <c r="K12">
        <v>4.778164812929582E-2</v>
      </c>
      <c r="L12">
        <v>7.8340019059776902E-2</v>
      </c>
      <c r="M12">
        <v>0.111789571001641</v>
      </c>
      <c r="N12" s="3">
        <f t="shared" si="5"/>
        <v>2.4788260608323238</v>
      </c>
      <c r="Q12">
        <v>8.387115067331212E-2</v>
      </c>
      <c r="R12">
        <v>0.11137525568617876</v>
      </c>
      <c r="S12" s="3">
        <f t="shared" si="7"/>
        <v>0.96927942393244715</v>
      </c>
      <c r="Z12">
        <v>8.9999999999999993E-3</v>
      </c>
      <c r="AA12">
        <v>0.904257652060376</v>
      </c>
      <c r="AB12">
        <v>7.9696144857821796E-2</v>
      </c>
      <c r="AC12">
        <v>1.6046203081802098E-2</v>
      </c>
      <c r="AD12">
        <v>-1.6248003280858202E-2</v>
      </c>
      <c r="AE12">
        <v>1.5292812497229601E-2</v>
      </c>
      <c r="AF12">
        <v>9.5519078362849702E-4</v>
      </c>
      <c r="AI12">
        <v>8.9999999999999993E-3</v>
      </c>
      <c r="AJ12">
        <v>0.896247415785135</v>
      </c>
      <c r="AK12">
        <v>8.7132201758613095E-2</v>
      </c>
      <c r="AL12">
        <v>1.6620382456251099E-2</v>
      </c>
      <c r="AM12">
        <v>-2.4258239556098599E-2</v>
      </c>
      <c r="AN12">
        <v>2.2728869398021E-2</v>
      </c>
      <c r="AO12">
        <v>1.52937015807752E-3</v>
      </c>
    </row>
    <row r="13" spans="1:41" x14ac:dyDescent="0.35">
      <c r="B13">
        <v>3</v>
      </c>
      <c r="C13">
        <v>0.81582839070166502</v>
      </c>
      <c r="D13">
        <v>0.16329652952267301</v>
      </c>
      <c r="E13">
        <v>2.0875079775661599E-2</v>
      </c>
      <c r="F13">
        <f t="shared" si="0"/>
        <v>0.16329652952267307</v>
      </c>
      <c r="G13">
        <f t="shared" si="1"/>
        <v>2.0875079775661606E-2</v>
      </c>
      <c r="H13">
        <f t="shared" si="2"/>
        <v>9.8896529522673068E-2</v>
      </c>
      <c r="I13">
        <f t="shared" si="3"/>
        <v>5.7750797756615981E-3</v>
      </c>
      <c r="J13">
        <f t="shared" si="4"/>
        <v>5.8395171231338312E-2</v>
      </c>
      <c r="K13">
        <v>3.60855828759436E-2</v>
      </c>
      <c r="L13">
        <v>5.94981870222238E-2</v>
      </c>
      <c r="M13">
        <v>8.5983516606921703E-2</v>
      </c>
      <c r="N13" s="3">
        <f t="shared" si="5"/>
        <v>3.4875534161074575</v>
      </c>
      <c r="Q13">
        <v>7.7493358909215063E-2</v>
      </c>
      <c r="R13">
        <v>9.7402462931809639E-2</v>
      </c>
      <c r="S13" s="3">
        <f t="shared" si="7"/>
        <v>1.0407309311256556</v>
      </c>
      <c r="Z13">
        <v>0.01</v>
      </c>
      <c r="AA13">
        <v>0.90246141924807499</v>
      </c>
      <c r="AB13">
        <v>8.1378126498105205E-2</v>
      </c>
      <c r="AC13">
        <v>1.6160454253819699E-2</v>
      </c>
      <c r="AD13">
        <v>-1.8044236093159301E-2</v>
      </c>
      <c r="AE13">
        <v>1.69747941375131E-2</v>
      </c>
      <c r="AF13">
        <v>1.06944195564611E-3</v>
      </c>
      <c r="AI13">
        <v>0.01</v>
      </c>
      <c r="AJ13">
        <v>0.89357971278887005</v>
      </c>
      <c r="AK13">
        <v>8.96061204506617E-2</v>
      </c>
      <c r="AL13">
        <v>1.6814166760467299E-2</v>
      </c>
      <c r="AM13">
        <v>-2.6925942552363399E-2</v>
      </c>
      <c r="AN13">
        <v>2.5202788090069601E-2</v>
      </c>
      <c r="AO13">
        <v>1.72315446229372E-3</v>
      </c>
    </row>
    <row r="14" spans="1:41" x14ac:dyDescent="0.35">
      <c r="B14">
        <v>4</v>
      </c>
      <c r="C14">
        <v>0.81739450017340598</v>
      </c>
      <c r="D14">
        <v>0.162918302989013</v>
      </c>
      <c r="E14">
        <v>1.96871968375813E-2</v>
      </c>
      <c r="F14">
        <f t="shared" si="0"/>
        <v>0.16291830298901297</v>
      </c>
      <c r="G14">
        <f t="shared" si="1"/>
        <v>1.9687196837581297E-2</v>
      </c>
      <c r="H14">
        <f t="shared" si="2"/>
        <v>9.8518302989012971E-2</v>
      </c>
      <c r="I14">
        <f t="shared" si="3"/>
        <v>4.5871968375812994E-3</v>
      </c>
      <c r="J14">
        <f t="shared" si="4"/>
        <v>4.6561874275208297E-2</v>
      </c>
      <c r="K14">
        <v>4.0456752847246175E-2</v>
      </c>
      <c r="L14">
        <v>6.5833819643882296E-2</v>
      </c>
      <c r="M14">
        <v>9.4740266025988396E-2</v>
      </c>
      <c r="N14" s="3">
        <f t="shared" si="5"/>
        <v>3.130698769163244</v>
      </c>
      <c r="Q14">
        <v>7.9795032055573312E-2</v>
      </c>
      <c r="R14">
        <v>0.10201843535706363</v>
      </c>
      <c r="S14" s="3">
        <f t="shared" si="7"/>
        <v>0.50458737892155492</v>
      </c>
      <c r="Z14">
        <v>1.0999999999999999E-2</v>
      </c>
      <c r="AA14">
        <v>0.90066700528851495</v>
      </c>
      <c r="AB14">
        <v>8.3056664841098998E-2</v>
      </c>
      <c r="AC14">
        <v>1.6276329870385301E-2</v>
      </c>
      <c r="AD14">
        <v>-1.98386500527187E-2</v>
      </c>
      <c r="AE14">
        <v>1.86533324805069E-2</v>
      </c>
      <c r="AF14">
        <v>1.18531757221172E-3</v>
      </c>
      <c r="AI14">
        <v>1.0999999999999999E-2</v>
      </c>
      <c r="AJ14">
        <v>0.89091753007271002</v>
      </c>
      <c r="AK14">
        <v>9.2069801462001596E-2</v>
      </c>
      <c r="AL14">
        <v>1.7012668465287699E-2</v>
      </c>
      <c r="AM14">
        <v>-2.9588125268523599E-2</v>
      </c>
      <c r="AN14">
        <v>2.7666469101409401E-2</v>
      </c>
      <c r="AO14">
        <v>1.9216561671140801E-3</v>
      </c>
    </row>
    <row r="15" spans="1:41" x14ac:dyDescent="0.35">
      <c r="B15">
        <v>5</v>
      </c>
      <c r="C15">
        <v>0.83324504454794601</v>
      </c>
      <c r="D15">
        <v>0.14770684629493899</v>
      </c>
      <c r="E15">
        <v>1.9048109157114902E-2</v>
      </c>
      <c r="F15">
        <f t="shared" si="0"/>
        <v>0.14770684629493902</v>
      </c>
      <c r="G15">
        <f t="shared" si="1"/>
        <v>1.9048109157114905E-2</v>
      </c>
      <c r="H15">
        <f t="shared" si="2"/>
        <v>8.3306846294939021E-2</v>
      </c>
      <c r="I15">
        <f t="shared" si="3"/>
        <v>3.9481091571149009E-3</v>
      </c>
      <c r="J15">
        <f t="shared" si="4"/>
        <v>4.7392373288709558E-2</v>
      </c>
      <c r="K15">
        <v>4.6053745894000062E-2</v>
      </c>
      <c r="L15">
        <v>7.5234100282056501E-2</v>
      </c>
      <c r="M15">
        <v>0.107584899922869</v>
      </c>
      <c r="N15" s="3">
        <f t="shared" si="5"/>
        <v>2.2495377580311264</v>
      </c>
      <c r="Q15">
        <v>8.3285052103038243E-2</v>
      </c>
      <c r="R15">
        <v>0.10902026561459222</v>
      </c>
      <c r="S15" s="3">
        <f t="shared" si="7"/>
        <v>0.60530868344206823</v>
      </c>
      <c r="Z15">
        <v>1.2E-2</v>
      </c>
      <c r="AA15">
        <v>0.89887440982358502</v>
      </c>
      <c r="AB15">
        <v>8.4731760058704406E-2</v>
      </c>
      <c r="AC15">
        <v>1.6393830117710201E-2</v>
      </c>
      <c r="AD15">
        <v>-2.16312455176489E-2</v>
      </c>
      <c r="AE15">
        <v>2.03284276981123E-2</v>
      </c>
      <c r="AF15">
        <v>1.30281781953661E-3</v>
      </c>
      <c r="AI15">
        <v>1.2E-2</v>
      </c>
      <c r="AJ15">
        <v>0.88826086448240504</v>
      </c>
      <c r="AK15">
        <v>9.4523262494793106E-2</v>
      </c>
      <c r="AL15">
        <v>1.7215873022801802E-2</v>
      </c>
      <c r="AM15">
        <v>-3.22447908588291E-2</v>
      </c>
      <c r="AN15">
        <v>3.01199301342009E-2</v>
      </c>
      <c r="AO15">
        <v>2.12486072462819E-3</v>
      </c>
    </row>
    <row r="16" spans="1:41" x14ac:dyDescent="0.35">
      <c r="L16">
        <v>2</v>
      </c>
      <c r="M16">
        <v>3</v>
      </c>
      <c r="Z16">
        <v>1.2999999999999999E-2</v>
      </c>
      <c r="AA16">
        <v>0.89708363249619805</v>
      </c>
      <c r="AB16">
        <v>8.6403412320815901E-2</v>
      </c>
      <c r="AC16">
        <v>1.6512955182985799E-2</v>
      </c>
      <c r="AD16">
        <v>-2.3422022845036E-2</v>
      </c>
      <c r="AE16">
        <v>2.2000079960223799E-2</v>
      </c>
      <c r="AF16">
        <v>1.4219428848121899E-3</v>
      </c>
      <c r="AI16">
        <v>1.2999999999999999E-2</v>
      </c>
      <c r="AJ16">
        <v>0.88560971282300105</v>
      </c>
      <c r="AK16">
        <v>9.6966521281025495E-2</v>
      </c>
      <c r="AL16">
        <v>1.74237658959728E-2</v>
      </c>
      <c r="AM16">
        <v>-3.4895942518232803E-2</v>
      </c>
      <c r="AN16">
        <v>3.2563188920433403E-2</v>
      </c>
      <c r="AO16">
        <v>2.3327535977992401E-3</v>
      </c>
    </row>
    <row r="17" spans="1:41" x14ac:dyDescent="0.35">
      <c r="Z17">
        <v>1.4E-2</v>
      </c>
      <c r="AA17">
        <v>0.89529467295029397</v>
      </c>
      <c r="AB17">
        <v>8.80716217953217E-2</v>
      </c>
      <c r="AC17">
        <v>1.6633705254383901E-2</v>
      </c>
      <c r="AD17">
        <v>-2.52109823909401E-2</v>
      </c>
      <c r="AE17">
        <v>2.3668289434729602E-2</v>
      </c>
      <c r="AF17">
        <v>1.5426929562103501E-3</v>
      </c>
      <c r="AI17">
        <v>1.4E-2</v>
      </c>
      <c r="AJ17">
        <v>0.88296407185909098</v>
      </c>
      <c r="AK17">
        <v>9.9399595582091299E-2</v>
      </c>
      <c r="AL17">
        <v>1.7636332558817101E-2</v>
      </c>
      <c r="AM17">
        <v>-3.7541583482142697E-2</v>
      </c>
      <c r="AN17">
        <v>3.4996263221499103E-2</v>
      </c>
      <c r="AO17">
        <v>2.54532026064354E-3</v>
      </c>
    </row>
    <row r="18" spans="1:41" x14ac:dyDescent="0.35">
      <c r="A18" s="2" t="s">
        <v>18</v>
      </c>
      <c r="Z18">
        <v>1.4999999999999999E-2</v>
      </c>
      <c r="AA18">
        <v>0.893507530830839</v>
      </c>
      <c r="AB18">
        <v>8.9736388648103405E-2</v>
      </c>
      <c r="AC18">
        <v>1.6756080521057402E-2</v>
      </c>
      <c r="AD18">
        <v>-2.69981245103952E-2</v>
      </c>
      <c r="AE18">
        <v>2.5333056287511299E-2</v>
      </c>
      <c r="AF18">
        <v>1.6650682228837601E-3</v>
      </c>
      <c r="AI18">
        <v>1.4999999999999999E-2</v>
      </c>
      <c r="AJ18">
        <v>0.88032393831505595</v>
      </c>
      <c r="AK18">
        <v>0.101822503188361</v>
      </c>
      <c r="AL18">
        <v>1.7853558496582399E-2</v>
      </c>
      <c r="AM18">
        <v>-4.0181717026178197E-2</v>
      </c>
      <c r="AN18">
        <v>3.7419170827769403E-2</v>
      </c>
      <c r="AO18">
        <v>2.7625461984087702E-3</v>
      </c>
    </row>
    <row r="19" spans="1:41" x14ac:dyDescent="0.35">
      <c r="Z19">
        <v>1.6E-2</v>
      </c>
      <c r="AA19">
        <v>0.891722205783824</v>
      </c>
      <c r="AB19">
        <v>9.1397713043035594E-2</v>
      </c>
      <c r="AC19">
        <v>1.68800811731399E-2</v>
      </c>
      <c r="AD19">
        <v>-2.8783449557409801E-2</v>
      </c>
      <c r="AE19">
        <v>2.6994380682443499E-2</v>
      </c>
      <c r="AF19">
        <v>1.78906887496627E-3</v>
      </c>
      <c r="AI19">
        <v>1.6E-2</v>
      </c>
      <c r="AJ19">
        <v>0.87768930887531105</v>
      </c>
      <c r="AK19">
        <v>0.10423526191876301</v>
      </c>
      <c r="AL19">
        <v>1.80754292059245E-2</v>
      </c>
      <c r="AM19">
        <v>-4.2816346465922799E-2</v>
      </c>
      <c r="AN19">
        <v>3.9831929558171802E-2</v>
      </c>
      <c r="AO19">
        <v>2.9844169077508798E-3</v>
      </c>
    </row>
    <row r="20" spans="1:41" ht="16.5" x14ac:dyDescent="0.45"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s="7" t="s">
        <v>25</v>
      </c>
      <c r="Q20" t="s">
        <v>14</v>
      </c>
      <c r="R20" t="s">
        <v>15</v>
      </c>
      <c r="S20" s="7" t="s">
        <v>26</v>
      </c>
      <c r="Z20">
        <v>1.7000000000000001E-2</v>
      </c>
      <c r="AA20">
        <v>0.88993869745626697</v>
      </c>
      <c r="AB20">
        <v>9.3055595141985997E-2</v>
      </c>
      <c r="AC20">
        <v>1.7005707401746801E-2</v>
      </c>
      <c r="AD20">
        <v>-3.0566957884967199E-2</v>
      </c>
      <c r="AE20">
        <v>2.8652262781393899E-2</v>
      </c>
      <c r="AF20">
        <v>1.9146951035731699E-3</v>
      </c>
      <c r="AI20">
        <v>1.7000000000000001E-2</v>
      </c>
      <c r="AJ20">
        <v>0.875060180184554</v>
      </c>
      <c r="AK20">
        <v>0.106637889620361</v>
      </c>
      <c r="AL20">
        <v>1.8301930195083398E-2</v>
      </c>
      <c r="AM20">
        <v>-4.5445475156679502E-2</v>
      </c>
      <c r="AN20">
        <v>4.2234557259769698E-2</v>
      </c>
      <c r="AO20">
        <v>3.2109178969097498E-3</v>
      </c>
    </row>
    <row r="21" spans="1:41" x14ac:dyDescent="0.35">
      <c r="A21" t="s">
        <v>16</v>
      </c>
      <c r="B21">
        <v>1</v>
      </c>
      <c r="C21">
        <v>0.83190261175414992</v>
      </c>
      <c r="D21">
        <v>0.14548131931211811</v>
      </c>
      <c r="E21">
        <v>2.2616068933732102E-2</v>
      </c>
      <c r="F21">
        <f>D21/SUM(C21:E21)</f>
        <v>0.14548131931211811</v>
      </c>
      <c r="G21">
        <f>E21/SUM(C21:E21)</f>
        <v>2.2616068933732102E-2</v>
      </c>
      <c r="H21">
        <f>F21-0.0644</f>
        <v>8.1081319312118108E-2</v>
      </c>
      <c r="I21">
        <f>E21-0.0151</f>
        <v>7.5160689337321011E-3</v>
      </c>
      <c r="J21">
        <f>I21/H21</f>
        <v>9.2697911152622034E-2</v>
      </c>
      <c r="K21">
        <v>3.3574678927720883E-2</v>
      </c>
      <c r="L21">
        <v>5.4710348413474198E-2</v>
      </c>
      <c r="M21">
        <v>7.9313446399450704E-2</v>
      </c>
      <c r="N21" s="3">
        <f>H21*SLOPE($L$16:$M$16,L21:M21)+INTERCEPT($L$16:$M$16,L21:M21)</f>
        <v>3.0718557034433256</v>
      </c>
      <c r="O21" s="6">
        <f>AVERAGE(N21:N25)</f>
        <v>2.761644176906382</v>
      </c>
      <c r="P21" s="6">
        <f>STDEV(N21:N25)/SQRT(5)</f>
        <v>0.15341597506956017</v>
      </c>
      <c r="Q21">
        <v>7.5780049817521802E-2</v>
      </c>
      <c r="R21">
        <v>9.3967345933872889E-2</v>
      </c>
      <c r="S21" s="3">
        <f>J21*SLOPE($L$32:$M$32,Q21:R21)+INTERCEPT($L$32:$M$32,Q21:R21)</f>
        <v>2.9302021161842973</v>
      </c>
      <c r="T21" s="6">
        <f>AVERAGE(S21:S25)</f>
        <v>2.7963816710292262</v>
      </c>
      <c r="U21" s="6">
        <f>STDEV(S21:S25)/SQRT(5)</f>
        <v>0.10000010178434598</v>
      </c>
      <c r="Z21">
        <v>1.7999999999999999E-2</v>
      </c>
      <c r="AA21">
        <v>0.88815700549620902</v>
      </c>
      <c r="AB21">
        <v>9.4710035104815196E-2</v>
      </c>
      <c r="AC21">
        <v>1.71329593989752E-2</v>
      </c>
      <c r="AD21">
        <v>-3.2348649845024703E-2</v>
      </c>
      <c r="AE21">
        <v>3.0306702744223001E-2</v>
      </c>
      <c r="AF21">
        <v>2.0419471008015899E-3</v>
      </c>
      <c r="AI21">
        <v>1.7999999999999999E-2</v>
      </c>
      <c r="AJ21">
        <v>0.87243654884800703</v>
      </c>
      <c r="AK21">
        <v>0.109030404167935</v>
      </c>
      <c r="AL21">
        <v>1.8533046984057101E-2</v>
      </c>
      <c r="AM21">
        <v>-4.8069106493227001E-2</v>
      </c>
      <c r="AN21">
        <v>4.4627071807343301E-2</v>
      </c>
      <c r="AO21">
        <v>3.4420346858835501E-3</v>
      </c>
    </row>
    <row r="22" spans="1:41" x14ac:dyDescent="0.35">
      <c r="B22">
        <v>2</v>
      </c>
      <c r="C22">
        <v>0.81864528883364007</v>
      </c>
      <c r="D22">
        <v>0.15666712032059019</v>
      </c>
      <c r="E22">
        <v>2.4687590845769561E-2</v>
      </c>
      <c r="F22">
        <f t="shared" ref="F22:F31" si="8">D22/SUM(C22:E22)</f>
        <v>0.15666712032059021</v>
      </c>
      <c r="G22">
        <f t="shared" ref="G22:G31" si="9">E22/SUM(C22:E22)</f>
        <v>2.4687590845769568E-2</v>
      </c>
      <c r="H22">
        <f t="shared" ref="H22:H31" si="10">F22-0.0644</f>
        <v>9.2267120320590215E-2</v>
      </c>
      <c r="I22">
        <f t="shared" ref="I22:I31" si="11">E22-0.0151</f>
        <v>9.5875908457695603E-3</v>
      </c>
      <c r="J22">
        <f t="shared" ref="J22:J31" si="12">I22/H22</f>
        <v>0.10391123958845398</v>
      </c>
      <c r="K22">
        <v>4.5534384183177054E-2</v>
      </c>
      <c r="L22">
        <v>7.3675983381834106E-2</v>
      </c>
      <c r="M22">
        <v>0.10546819682172601</v>
      </c>
      <c r="N22" s="3">
        <f t="shared" ref="N22:N31" si="13">H22*SLOPE($L$16:$M$16,L22:M22)+INTERCEPT($L$16:$M$16,L22:M22)</f>
        <v>2.584770134797489</v>
      </c>
      <c r="Q22">
        <v>8.2700225702380017E-2</v>
      </c>
      <c r="R22">
        <v>0.1078467389923075</v>
      </c>
      <c r="S22" s="3">
        <f t="shared" ref="S22:S31" si="14">J22*SLOPE($L$32:$M$32,Q22:R22)+INTERCEPT($L$32:$M$32,Q22:R22)</f>
        <v>2.8434972133719274</v>
      </c>
      <c r="Z22">
        <v>1.9E-2</v>
      </c>
      <c r="AA22">
        <v>0.88637712955271897</v>
      </c>
      <c r="AB22">
        <v>9.6361033089376297E-2</v>
      </c>
      <c r="AC22">
        <v>1.72618373579045E-2</v>
      </c>
      <c r="AD22">
        <v>-3.41285257885151E-2</v>
      </c>
      <c r="AE22">
        <v>3.1957700728784198E-2</v>
      </c>
      <c r="AF22">
        <v>2.1708250597308599E-3</v>
      </c>
      <c r="AI22">
        <v>1.9E-2</v>
      </c>
      <c r="AJ22">
        <v>0.86981841143165906</v>
      </c>
      <c r="AK22">
        <v>0.111412823463564</v>
      </c>
      <c r="AL22">
        <v>1.87687651047754E-2</v>
      </c>
      <c r="AM22">
        <v>-5.0687243909574499E-2</v>
      </c>
      <c r="AN22">
        <v>4.70094911029727E-2</v>
      </c>
      <c r="AO22">
        <v>3.6777528066017501E-3</v>
      </c>
    </row>
    <row r="23" spans="1:41" x14ac:dyDescent="0.35">
      <c r="B23">
        <v>3</v>
      </c>
      <c r="C23">
        <v>0.82185113400965726</v>
      </c>
      <c r="D23">
        <v>0.15435115778147021</v>
      </c>
      <c r="E23">
        <v>2.379770820887259E-2</v>
      </c>
      <c r="F23">
        <f t="shared" si="8"/>
        <v>0.15435115778147021</v>
      </c>
      <c r="G23">
        <f t="shared" si="9"/>
        <v>2.379770820887259E-2</v>
      </c>
      <c r="H23">
        <f t="shared" si="10"/>
        <v>8.9951157781470212E-2</v>
      </c>
      <c r="I23">
        <f t="shared" si="11"/>
        <v>8.6977082088725895E-3</v>
      </c>
      <c r="J23">
        <f t="shared" si="12"/>
        <v>9.6693677139798886E-2</v>
      </c>
      <c r="K23">
        <v>4.3843577736610684E-2</v>
      </c>
      <c r="L23">
        <v>7.2114428005946904E-2</v>
      </c>
      <c r="M23">
        <v>0.10334189066834799</v>
      </c>
      <c r="N23" s="3">
        <f t="shared" si="13"/>
        <v>2.5711872901220159</v>
      </c>
      <c r="Q23">
        <v>8.2116667333823126E-2</v>
      </c>
      <c r="R23">
        <v>0.10667584610400016</v>
      </c>
      <c r="S23" s="3">
        <f t="shared" si="14"/>
        <v>2.5935463047191578</v>
      </c>
      <c r="Z23">
        <v>0.02</v>
      </c>
      <c r="AA23">
        <v>0.88459906927588805</v>
      </c>
      <c r="AB23">
        <v>9.8008589251515205E-2</v>
      </c>
      <c r="AC23">
        <v>1.7392341472596402E-2</v>
      </c>
      <c r="AD23">
        <v>-3.5906586065345997E-2</v>
      </c>
      <c r="AE23">
        <v>3.3605256890923099E-2</v>
      </c>
      <c r="AF23">
        <v>2.3013291744227999E-3</v>
      </c>
      <c r="AI23">
        <v>0.02</v>
      </c>
      <c r="AJ23">
        <v>0.86720576446251496</v>
      </c>
      <c r="AK23">
        <v>0.113785165436214</v>
      </c>
      <c r="AL23">
        <v>1.9009070101270599E-2</v>
      </c>
      <c r="AM23">
        <v>-5.3299890878719003E-2</v>
      </c>
      <c r="AN23">
        <v>4.9381833075622002E-2</v>
      </c>
      <c r="AO23">
        <v>3.9180578030969899E-3</v>
      </c>
    </row>
    <row r="24" spans="1:41" x14ac:dyDescent="0.35">
      <c r="B24">
        <v>4</v>
      </c>
      <c r="C24">
        <v>0.82783365157904043</v>
      </c>
      <c r="D24">
        <v>0.14898961090159751</v>
      </c>
      <c r="E24">
        <v>2.3176737519362119E-2</v>
      </c>
      <c r="F24">
        <f t="shared" si="8"/>
        <v>0.14898961090159751</v>
      </c>
      <c r="G24">
        <f t="shared" si="9"/>
        <v>2.3176737519362119E-2</v>
      </c>
      <c r="H24">
        <f t="shared" si="10"/>
        <v>8.4589610901597515E-2</v>
      </c>
      <c r="I24">
        <f t="shared" si="11"/>
        <v>8.076737519362118E-3</v>
      </c>
      <c r="J24">
        <f t="shared" si="12"/>
        <v>9.548143599759229E-2</v>
      </c>
      <c r="K24">
        <v>4.3799842630698568E-2</v>
      </c>
      <c r="L24">
        <v>7.2114428005946904E-2</v>
      </c>
      <c r="M24">
        <v>0.10334189066834799</v>
      </c>
      <c r="N24" s="3">
        <f t="shared" si="13"/>
        <v>2.3994939656327299</v>
      </c>
      <c r="Q24">
        <v>8.2116667333823126E-2</v>
      </c>
      <c r="R24">
        <v>0.10667584610400016</v>
      </c>
      <c r="S24" s="3">
        <f t="shared" si="14"/>
        <v>2.5441863015386503</v>
      </c>
      <c r="Z24">
        <v>2.1000000000000001E-2</v>
      </c>
      <c r="AA24">
        <v>0.88282282431683401</v>
      </c>
      <c r="AB24">
        <v>9.9652703745070098E-2</v>
      </c>
      <c r="AC24">
        <v>1.7524471938095702E-2</v>
      </c>
      <c r="AD24">
        <v>-3.76828310244001E-2</v>
      </c>
      <c r="AE24">
        <v>3.5249371384478E-2</v>
      </c>
      <c r="AF24">
        <v>2.4334596399220999E-3</v>
      </c>
      <c r="AI24">
        <v>2.1000000000000001E-2</v>
      </c>
      <c r="AJ24">
        <v>0.86459860442883196</v>
      </c>
      <c r="AK24">
        <v>0.116147448041318</v>
      </c>
      <c r="AL24">
        <v>1.9253947529849099E-2</v>
      </c>
      <c r="AM24">
        <v>-5.5907050912401599E-2</v>
      </c>
      <c r="AN24">
        <v>5.1744115680726198E-2</v>
      </c>
      <c r="AO24">
        <v>4.16293523167547E-3</v>
      </c>
    </row>
    <row r="25" spans="1:41" x14ac:dyDescent="0.35">
      <c r="B25">
        <v>5</v>
      </c>
      <c r="C25">
        <v>0.81545288033841778</v>
      </c>
      <c r="D25">
        <v>0.15979420052146739</v>
      </c>
      <c r="E25">
        <v>2.4752919140114869E-2</v>
      </c>
      <c r="F25">
        <f t="shared" si="8"/>
        <v>0.15979420052146739</v>
      </c>
      <c r="G25">
        <f t="shared" si="9"/>
        <v>2.4752919140114869E-2</v>
      </c>
      <c r="H25">
        <f t="shared" si="10"/>
        <v>9.5394200521467395E-2</v>
      </c>
      <c r="I25">
        <f t="shared" si="11"/>
        <v>9.6529191401148687E-3</v>
      </c>
      <c r="J25">
        <f t="shared" si="12"/>
        <v>0.10118979023198153</v>
      </c>
      <c r="K25">
        <v>3.8264149957200982E-2</v>
      </c>
      <c r="L25">
        <v>6.2672881820083806E-2</v>
      </c>
      <c r="M25">
        <v>9.0381355515290807E-2</v>
      </c>
      <c r="N25" s="3">
        <f t="shared" si="13"/>
        <v>3.1809137905363483</v>
      </c>
      <c r="Q25">
        <v>7.8641716341871254E-2</v>
      </c>
      <c r="R25">
        <v>9.9705303995841876E-2</v>
      </c>
      <c r="S25" s="3">
        <f t="shared" si="14"/>
        <v>3.070476419332099</v>
      </c>
      <c r="Z25">
        <v>2.1999999999999999E-2</v>
      </c>
      <c r="AA25">
        <v>0.88104839432769799</v>
      </c>
      <c r="AB25">
        <v>0.101293376721871</v>
      </c>
      <c r="AC25">
        <v>1.7658228950430298E-2</v>
      </c>
      <c r="AD25">
        <v>-3.9457261013535902E-2</v>
      </c>
      <c r="AE25">
        <v>3.6890044361279101E-2</v>
      </c>
      <c r="AF25">
        <v>2.5672166522566599E-3</v>
      </c>
      <c r="AI25">
        <v>2.1999999999999999E-2</v>
      </c>
      <c r="AJ25">
        <v>0.86199692778036896</v>
      </c>
      <c r="AK25">
        <v>0.11849968926037099</v>
      </c>
      <c r="AL25">
        <v>1.95033829592599E-2</v>
      </c>
      <c r="AM25">
        <v>-5.8508727560865302E-2</v>
      </c>
      <c r="AN25">
        <v>5.4096356899779E-2</v>
      </c>
      <c r="AO25">
        <v>4.41237066108626E-3</v>
      </c>
    </row>
    <row r="26" spans="1:41" x14ac:dyDescent="0.35">
      <c r="N26" s="3"/>
      <c r="S26" s="3"/>
      <c r="Z26">
        <v>2.3E-2</v>
      </c>
      <c r="AA26">
        <v>0.87927577896164699</v>
      </c>
      <c r="AB26">
        <v>0.102930608331741</v>
      </c>
      <c r="AC26">
        <v>1.7793612706611599E-2</v>
      </c>
      <c r="AD26">
        <v>-4.1229876379586999E-2</v>
      </c>
      <c r="AE26">
        <v>3.8527275971148897E-2</v>
      </c>
      <c r="AF26">
        <v>2.7026004084379899E-3</v>
      </c>
      <c r="AI26">
        <v>2.3E-2</v>
      </c>
      <c r="AJ26">
        <v>0.85940073092862201</v>
      </c>
      <c r="AK26">
        <v>0.120841907100515</v>
      </c>
      <c r="AL26">
        <v>1.9757361970862801E-2</v>
      </c>
      <c r="AM26">
        <v>-6.1104924412612102E-2</v>
      </c>
      <c r="AN26">
        <v>5.6438574739922899E-2</v>
      </c>
      <c r="AO26">
        <v>4.6663496726891797E-3</v>
      </c>
    </row>
    <row r="27" spans="1:41" x14ac:dyDescent="0.35">
      <c r="A27" t="s">
        <v>17</v>
      </c>
      <c r="B27">
        <v>1</v>
      </c>
      <c r="C27">
        <v>0.84142780650908022</v>
      </c>
      <c r="D27">
        <v>0.13625227700254891</v>
      </c>
      <c r="E27">
        <v>2.2319916488370759E-2</v>
      </c>
      <c r="F27">
        <f t="shared" si="8"/>
        <v>0.13625227700254894</v>
      </c>
      <c r="G27">
        <f t="shared" si="9"/>
        <v>2.2319916488370763E-2</v>
      </c>
      <c r="H27">
        <f t="shared" si="10"/>
        <v>7.1852277002548939E-2</v>
      </c>
      <c r="I27">
        <f t="shared" si="11"/>
        <v>7.2199164883707586E-3</v>
      </c>
      <c r="J27">
        <f t="shared" si="12"/>
        <v>0.10048277924601658</v>
      </c>
      <c r="K27">
        <v>3.8786612774880047E-2</v>
      </c>
      <c r="L27">
        <v>6.4255070295660702E-2</v>
      </c>
      <c r="M27">
        <v>9.2565667631643297E-2</v>
      </c>
      <c r="N27" s="3">
        <f t="shared" si="13"/>
        <v>2.2683520455865565</v>
      </c>
      <c r="Q27">
        <v>7.9217752408713635E-2</v>
      </c>
      <c r="R27">
        <v>0.10086057908326206</v>
      </c>
      <c r="S27" s="3">
        <f t="shared" si="14"/>
        <v>2.9825438773351278</v>
      </c>
      <c r="Z27">
        <v>2.4E-2</v>
      </c>
      <c r="AA27">
        <v>0.87750497787287096</v>
      </c>
      <c r="AB27">
        <v>0.104564398722493</v>
      </c>
      <c r="AC27">
        <v>1.7930623404634999E-2</v>
      </c>
      <c r="AD27">
        <v>-4.3000677468363203E-2</v>
      </c>
      <c r="AE27">
        <v>4.0161066361901601E-2</v>
      </c>
      <c r="AF27">
        <v>2.83961110646145E-3</v>
      </c>
      <c r="AI27">
        <v>2.4E-2</v>
      </c>
      <c r="AJ27">
        <v>0.85681001024707104</v>
      </c>
      <c r="AK27">
        <v>0.12317411959413301</v>
      </c>
      <c r="AL27">
        <v>2.00158701587951E-2</v>
      </c>
      <c r="AM27">
        <v>-6.3695645094162506E-2</v>
      </c>
      <c r="AN27">
        <v>5.87707872335409E-2</v>
      </c>
      <c r="AO27">
        <v>4.9248578606214902E-3</v>
      </c>
    </row>
    <row r="28" spans="1:41" x14ac:dyDescent="0.35">
      <c r="B28">
        <v>2</v>
      </c>
      <c r="C28">
        <v>0.8169209658506188</v>
      </c>
      <c r="D28">
        <v>0.15939814717595879</v>
      </c>
      <c r="E28">
        <v>2.3680886973422209E-2</v>
      </c>
      <c r="F28">
        <f t="shared" si="8"/>
        <v>0.15939814717595882</v>
      </c>
      <c r="G28">
        <f t="shared" si="9"/>
        <v>2.3680886973422216E-2</v>
      </c>
      <c r="H28">
        <f t="shared" si="10"/>
        <v>9.4998147175958822E-2</v>
      </c>
      <c r="I28">
        <f t="shared" si="11"/>
        <v>8.5808869734222085E-3</v>
      </c>
      <c r="J28">
        <f t="shared" si="12"/>
        <v>9.0326887718435139E-2</v>
      </c>
      <c r="K28">
        <v>4.778164812929582E-2</v>
      </c>
      <c r="L28">
        <v>7.8340019059776902E-2</v>
      </c>
      <c r="M28">
        <v>0.111789571001641</v>
      </c>
      <c r="N28" s="3">
        <f t="shared" si="13"/>
        <v>2.4980075112854738</v>
      </c>
      <c r="Q28">
        <v>8.4458525568737106E-2</v>
      </c>
      <c r="R28">
        <v>0.11137525568617876</v>
      </c>
      <c r="S28" s="3">
        <f t="shared" si="14"/>
        <v>2.2180191324909644</v>
      </c>
      <c r="Z28">
        <v>2.5000000000000001E-2</v>
      </c>
      <c r="AA28">
        <v>0.87573599071658403</v>
      </c>
      <c r="AB28">
        <v>0.10619474803993501</v>
      </c>
      <c r="AC28">
        <v>1.8069261243480302E-2</v>
      </c>
      <c r="AD28">
        <v>-4.4769664624649798E-2</v>
      </c>
      <c r="AE28">
        <v>4.1791415679342997E-2</v>
      </c>
      <c r="AF28">
        <v>2.9782489453067302E-3</v>
      </c>
      <c r="AI28">
        <v>2.5000000000000001E-2</v>
      </c>
      <c r="AJ28">
        <v>0.85422476207142095</v>
      </c>
      <c r="AK28">
        <v>0.12549634479844199</v>
      </c>
      <c r="AL28">
        <v>2.02788931301369E-2</v>
      </c>
      <c r="AM28">
        <v>-6.6280893269813304E-2</v>
      </c>
      <c r="AN28">
        <v>6.1093012437849897E-2</v>
      </c>
      <c r="AO28">
        <v>5.18788083196334E-3</v>
      </c>
    </row>
    <row r="29" spans="1:41" x14ac:dyDescent="0.35">
      <c r="B29">
        <v>3</v>
      </c>
      <c r="C29">
        <v>0.81125264488204041</v>
      </c>
      <c r="D29">
        <v>0.1639768780877002</v>
      </c>
      <c r="E29">
        <v>2.4770477030259391E-2</v>
      </c>
      <c r="F29">
        <f t="shared" si="8"/>
        <v>0.1639768780877002</v>
      </c>
      <c r="G29">
        <f t="shared" si="9"/>
        <v>2.4770477030259391E-2</v>
      </c>
      <c r="H29">
        <f t="shared" si="10"/>
        <v>9.9576878087700202E-2</v>
      </c>
      <c r="I29">
        <f t="shared" si="11"/>
        <v>9.6704770302593907E-3</v>
      </c>
      <c r="J29">
        <f t="shared" si="12"/>
        <v>9.7115688059052477E-2</v>
      </c>
      <c r="K29">
        <v>3.60855828759436E-2</v>
      </c>
      <c r="L29">
        <v>5.94981870222238E-2</v>
      </c>
      <c r="M29">
        <v>8.5983516606921703E-2</v>
      </c>
      <c r="N29" s="3">
        <f t="shared" si="13"/>
        <v>3.5132411676172675</v>
      </c>
      <c r="Q29">
        <v>7.7493358909215063E-2</v>
      </c>
      <c r="R29">
        <v>9.7402462931809639E-2</v>
      </c>
      <c r="S29" s="3">
        <f t="shared" si="14"/>
        <v>2.9855957921345073</v>
      </c>
      <c r="Z29">
        <v>2.5999999999999999E-2</v>
      </c>
      <c r="AA29">
        <v>0.87396881714902497</v>
      </c>
      <c r="AB29">
        <v>0.107821656427862</v>
      </c>
      <c r="AC29">
        <v>1.8209526423111699E-2</v>
      </c>
      <c r="AD29">
        <v>-4.6536838192208697E-2</v>
      </c>
      <c r="AE29">
        <v>4.3418324067270503E-2</v>
      </c>
      <c r="AF29">
        <v>3.1185141249381E-3</v>
      </c>
      <c r="AI29">
        <v>2.5999999999999999E-2</v>
      </c>
      <c r="AJ29">
        <v>0.85164498269983602</v>
      </c>
      <c r="AK29">
        <v>0.12780860079508699</v>
      </c>
      <c r="AL29">
        <v>2.05464165050754E-2</v>
      </c>
      <c r="AM29">
        <v>-6.8860672641397599E-2</v>
      </c>
      <c r="AN29">
        <v>6.3405268434495704E-2</v>
      </c>
      <c r="AO29">
        <v>5.4554042069018104E-3</v>
      </c>
    </row>
    <row r="30" spans="1:41" x14ac:dyDescent="0.35">
      <c r="B30">
        <v>4</v>
      </c>
      <c r="C30">
        <v>0.81205945004117708</v>
      </c>
      <c r="D30">
        <v>0.16252299907964091</v>
      </c>
      <c r="E30">
        <v>2.5417550879181919E-2</v>
      </c>
      <c r="F30">
        <f t="shared" si="8"/>
        <v>0.16252299907964093</v>
      </c>
      <c r="G30">
        <f t="shared" si="9"/>
        <v>2.5417550879181922E-2</v>
      </c>
      <c r="H30">
        <f t="shared" si="10"/>
        <v>9.8122999079640935E-2</v>
      </c>
      <c r="I30">
        <f t="shared" si="11"/>
        <v>1.0317550879181918E-2</v>
      </c>
      <c r="J30">
        <f t="shared" si="12"/>
        <v>0.10514915948306615</v>
      </c>
      <c r="K30">
        <v>4.0456752847246175E-2</v>
      </c>
      <c r="L30">
        <v>6.5833819643882296E-2</v>
      </c>
      <c r="M30">
        <v>9.4740266025988396E-2</v>
      </c>
      <c r="N30" s="3">
        <f t="shared" si="13"/>
        <v>3.1170234835834592</v>
      </c>
      <c r="Q30">
        <v>7.9795032055573312E-2</v>
      </c>
      <c r="R30">
        <v>0.10201843535706363</v>
      </c>
      <c r="S30" s="3">
        <f t="shared" si="14"/>
        <v>3.1408750983605005</v>
      </c>
      <c r="Z30">
        <v>2.7E-2</v>
      </c>
      <c r="AA30">
        <v>0.87220345682745604</v>
      </c>
      <c r="AB30">
        <v>0.109445124028064</v>
      </c>
      <c r="AC30">
        <v>1.8351419144478499E-2</v>
      </c>
      <c r="AD30">
        <v>-4.8302198513777699E-2</v>
      </c>
      <c r="AE30">
        <v>4.50417916674727E-2</v>
      </c>
      <c r="AF30">
        <v>3.2604068463048799E-3</v>
      </c>
      <c r="AI30">
        <v>2.7E-2</v>
      </c>
      <c r="AJ30">
        <v>0.84907066839319001</v>
      </c>
      <c r="AK30">
        <v>0.13011090568974201</v>
      </c>
      <c r="AL30">
        <v>2.0818425917067399E-2</v>
      </c>
      <c r="AM30">
        <v>-7.1434986948044094E-2</v>
      </c>
      <c r="AN30">
        <v>6.5707573329150198E-2</v>
      </c>
      <c r="AO30">
        <v>5.72741361889385E-3</v>
      </c>
    </row>
    <row r="31" spans="1:41" x14ac:dyDescent="0.35">
      <c r="B31">
        <v>5</v>
      </c>
      <c r="C31">
        <v>0.82835083040354951</v>
      </c>
      <c r="D31">
        <v>0.14892963733676121</v>
      </c>
      <c r="E31">
        <v>2.2719532259689489E-2</v>
      </c>
      <c r="F31">
        <f t="shared" si="8"/>
        <v>0.14892963733676118</v>
      </c>
      <c r="G31">
        <f t="shared" si="9"/>
        <v>2.2719532259689486E-2</v>
      </c>
      <c r="H31">
        <f t="shared" si="10"/>
        <v>8.4529637336761179E-2</v>
      </c>
      <c r="I31">
        <f t="shared" si="11"/>
        <v>7.6195322596894887E-3</v>
      </c>
      <c r="J31">
        <f t="shared" si="12"/>
        <v>9.0140363779554783E-2</v>
      </c>
      <c r="K31">
        <v>4.6053745894000062E-2</v>
      </c>
      <c r="L31">
        <v>7.5234100282056501E-2</v>
      </c>
      <c r="M31">
        <v>0.107584899922869</v>
      </c>
      <c r="N31" s="3">
        <f t="shared" si="13"/>
        <v>2.28733561945646</v>
      </c>
      <c r="Q31">
        <v>8.3285052103038243E-2</v>
      </c>
      <c r="R31">
        <v>0.10902026561459222</v>
      </c>
      <c r="S31" s="3">
        <f t="shared" si="14"/>
        <v>2.2663786594752287</v>
      </c>
      <c r="Z31">
        <v>2.8000000000000001E-2</v>
      </c>
      <c r="AA31">
        <v>0.87043990941016303</v>
      </c>
      <c r="AB31">
        <v>0.11106515098032101</v>
      </c>
      <c r="AC31">
        <v>1.8494939609515301E-2</v>
      </c>
      <c r="AD31">
        <v>-5.0065745931071097E-2</v>
      </c>
      <c r="AE31">
        <v>4.66618186197294E-2</v>
      </c>
      <c r="AF31">
        <v>3.4039273113416601E-3</v>
      </c>
      <c r="AI31">
        <v>2.8000000000000001E-2</v>
      </c>
      <c r="AJ31">
        <v>0.84650181537529501</v>
      </c>
      <c r="AK31">
        <v>0.13240327761170201</v>
      </c>
      <c r="AL31">
        <v>2.1094907013001499E-2</v>
      </c>
      <c r="AM31">
        <v>-7.4003839965938498E-2</v>
      </c>
      <c r="AN31">
        <v>6.79999452511105E-2</v>
      </c>
      <c r="AO31">
        <v>6.0038947148278697E-3</v>
      </c>
    </row>
    <row r="32" spans="1:41" x14ac:dyDescent="0.35">
      <c r="L32">
        <v>2</v>
      </c>
      <c r="M32">
        <v>3</v>
      </c>
      <c r="Z32">
        <v>2.9000000000000001E-2</v>
      </c>
      <c r="AA32">
        <v>0.86867817455645402</v>
      </c>
      <c r="AB32">
        <v>0.11268173742240301</v>
      </c>
      <c r="AC32">
        <v>1.8640088021142399E-2</v>
      </c>
      <c r="AD32">
        <v>-5.1827480784780097E-2</v>
      </c>
      <c r="AE32">
        <v>4.8278405061811303E-2</v>
      </c>
      <c r="AF32">
        <v>3.54907572296878E-3</v>
      </c>
      <c r="AI32">
        <v>2.9000000000000001E-2</v>
      </c>
      <c r="AJ32">
        <v>0.84393841983315099</v>
      </c>
      <c r="AK32">
        <v>0.13468573471349099</v>
      </c>
      <c r="AL32">
        <v>2.13758454533577E-2</v>
      </c>
      <c r="AM32">
        <v>-7.6567235508083295E-2</v>
      </c>
      <c r="AN32">
        <v>7.0282402352898898E-2</v>
      </c>
      <c r="AO32">
        <v>6.2848331551841399E-3</v>
      </c>
    </row>
    <row r="33" spans="26:41" x14ac:dyDescent="0.35">
      <c r="Z33">
        <v>0.03</v>
      </c>
      <c r="AA33">
        <v>0.86691825192666105</v>
      </c>
      <c r="AB33">
        <v>0.114294883490071</v>
      </c>
      <c r="AC33">
        <v>1.87868645832662E-2</v>
      </c>
      <c r="AD33">
        <v>-5.3587403414572403E-2</v>
      </c>
      <c r="AE33">
        <v>4.98915511294796E-2</v>
      </c>
      <c r="AF33">
        <v>3.69585228509262E-3</v>
      </c>
      <c r="AI33">
        <v>0.03</v>
      </c>
      <c r="AJ33">
        <v>0.84138047791717496</v>
      </c>
      <c r="AK33">
        <v>0.13695829517045699</v>
      </c>
      <c r="AL33">
        <v>2.1661226912367399E-2</v>
      </c>
      <c r="AM33">
        <v>-7.9125177424059306E-2</v>
      </c>
      <c r="AN33">
        <v>7.2554962809865495E-2</v>
      </c>
      <c r="AO33">
        <v>6.5702146141938004E-3</v>
      </c>
    </row>
    <row r="34" spans="26:41" x14ac:dyDescent="0.35">
      <c r="Z34">
        <v>3.1E-2</v>
      </c>
      <c r="AA34">
        <v>0.86516014118214102</v>
      </c>
      <c r="AB34">
        <v>0.11590458931707801</v>
      </c>
      <c r="AC34">
        <v>1.8935269500779599E-2</v>
      </c>
      <c r="AD34">
        <v>-5.5345514159092599E-2</v>
      </c>
      <c r="AE34">
        <v>5.1501256956486399E-2</v>
      </c>
      <c r="AF34">
        <v>3.8442572026060199E-3</v>
      </c>
      <c r="AI34">
        <v>3.1E-2</v>
      </c>
      <c r="AJ34">
        <v>0.83882798574144501</v>
      </c>
      <c r="AK34">
        <v>0.13922097718038401</v>
      </c>
      <c r="AL34">
        <v>2.19510370781704E-2</v>
      </c>
      <c r="AM34">
        <v>-8.1677669599789102E-2</v>
      </c>
      <c r="AN34">
        <v>7.4817644819792195E-2</v>
      </c>
      <c r="AO34">
        <v>6.8600247799967999E-3</v>
      </c>
    </row>
    <row r="35" spans="26:41" x14ac:dyDescent="0.35">
      <c r="Z35">
        <v>3.2000000000000001E-2</v>
      </c>
      <c r="AA35">
        <v>0.86340384198527098</v>
      </c>
      <c r="AB35">
        <v>0.11751085503516601</v>
      </c>
      <c r="AC35">
        <v>1.9085302979562201E-2</v>
      </c>
      <c r="AD35">
        <v>-5.7101813355962497E-2</v>
      </c>
      <c r="AE35">
        <v>5.3107522674573901E-2</v>
      </c>
      <c r="AF35">
        <v>3.9942906813885699E-3</v>
      </c>
      <c r="AI35">
        <v>3.2000000000000001E-2</v>
      </c>
      <c r="AJ35">
        <v>0.836280939383936</v>
      </c>
      <c r="AK35">
        <v>0.14147379896309101</v>
      </c>
      <c r="AL35">
        <v>2.2245261652972099E-2</v>
      </c>
      <c r="AM35">
        <v>-8.4224715957297497E-2</v>
      </c>
      <c r="AN35">
        <v>7.7070466602498902E-2</v>
      </c>
      <c r="AO35">
        <v>7.1542493547984698E-3</v>
      </c>
    </row>
    <row r="36" spans="26:41" x14ac:dyDescent="0.35">
      <c r="Z36">
        <v>3.3000000000000002E-2</v>
      </c>
      <c r="AA36">
        <v>0.86164935399945197</v>
      </c>
      <c r="AB36">
        <v>0.11911368077406601</v>
      </c>
      <c r="AC36">
        <v>1.92369652264806E-2</v>
      </c>
      <c r="AD36">
        <v>-5.8856301341781402E-2</v>
      </c>
      <c r="AE36">
        <v>5.4710348413474198E-2</v>
      </c>
      <c r="AF36">
        <v>4.1459529283070498E-3</v>
      </c>
      <c r="AI36">
        <v>3.3000000000000002E-2</v>
      </c>
      <c r="AJ36">
        <v>0.833739334886758</v>
      </c>
      <c r="AK36">
        <v>0.14371677876004199</v>
      </c>
      <c r="AL36">
        <v>2.2543886353198501E-2</v>
      </c>
      <c r="AM36">
        <v>-8.6766320454475701E-2</v>
      </c>
      <c r="AN36">
        <v>7.9313446399450704E-2</v>
      </c>
      <c r="AO36">
        <v>7.45287405502487E-3</v>
      </c>
    </row>
    <row r="37" spans="26:41" x14ac:dyDescent="0.35">
      <c r="Z37">
        <v>3.4000000000000002E-2</v>
      </c>
      <c r="AA37">
        <v>0.85989667688910798</v>
      </c>
      <c r="AB37">
        <v>0.120713066661502</v>
      </c>
      <c r="AC37">
        <v>1.9390256449389302E-2</v>
      </c>
      <c r="AD37">
        <v>-6.0608978452125602E-2</v>
      </c>
      <c r="AE37">
        <v>5.6309734300909797E-2</v>
      </c>
      <c r="AF37">
        <v>4.2992441512157403E-3</v>
      </c>
      <c r="AI37">
        <v>3.4000000000000002E-2</v>
      </c>
      <c r="AJ37">
        <v>0.83120316825638896</v>
      </c>
      <c r="AK37">
        <v>0.14594993483395999</v>
      </c>
      <c r="AL37">
        <v>2.2846896909650499E-2</v>
      </c>
      <c r="AM37">
        <v>-8.9302487084844895E-2</v>
      </c>
      <c r="AN37">
        <v>8.1546602473367799E-2</v>
      </c>
      <c r="AO37">
        <v>7.75588461147695E-3</v>
      </c>
    </row>
    <row r="38" spans="26:41" x14ac:dyDescent="0.35">
      <c r="Z38">
        <v>3.5000000000000003E-2</v>
      </c>
      <c r="AA38">
        <v>0.85814581031968395</v>
      </c>
      <c r="AB38">
        <v>0.122309012823184</v>
      </c>
      <c r="AC38">
        <v>1.9545176857130399E-2</v>
      </c>
      <c r="AD38">
        <v>-6.2359845021549398E-2</v>
      </c>
      <c r="AE38">
        <v>5.7905680462592597E-2</v>
      </c>
      <c r="AF38">
        <v>4.4541645589568401E-3</v>
      </c>
      <c r="AI38">
        <v>3.5000000000000003E-2</v>
      </c>
      <c r="AJ38">
        <v>0.828672435463914</v>
      </c>
      <c r="AK38">
        <v>0.14817328546842801</v>
      </c>
      <c r="AL38">
        <v>2.3154279067657001E-2</v>
      </c>
      <c r="AM38">
        <v>-9.1833219877319794E-2</v>
      </c>
      <c r="AN38">
        <v>8.3769953107836304E-2</v>
      </c>
      <c r="AO38">
        <v>8.0632667694834105E-3</v>
      </c>
    </row>
    <row r="39" spans="26:41" x14ac:dyDescent="0.35">
      <c r="Z39">
        <v>3.5999999999999997E-2</v>
      </c>
      <c r="AA39">
        <v>0.85639675395764903</v>
      </c>
      <c r="AB39">
        <v>0.123901519382815</v>
      </c>
      <c r="AC39">
        <v>1.9701726659534399E-2</v>
      </c>
      <c r="AD39">
        <v>-6.4108901383584702E-2</v>
      </c>
      <c r="AE39">
        <v>5.94981870222238E-2</v>
      </c>
      <c r="AF39">
        <v>4.6107143613607904E-3</v>
      </c>
      <c r="AI39">
        <v>3.5999999999999997E-2</v>
      </c>
      <c r="AJ39">
        <v>0.82614713244525995</v>
      </c>
      <c r="AK39">
        <v>0.150386848967513</v>
      </c>
      <c r="AL39">
        <v>2.3466018587225902E-2</v>
      </c>
      <c r="AM39">
        <v>-9.4358522895974101E-2</v>
      </c>
      <c r="AN39">
        <v>8.59835166069218E-2</v>
      </c>
      <c r="AO39">
        <v>8.3750062890523193E-3</v>
      </c>
    </row>
    <row r="40" spans="26:41" x14ac:dyDescent="0.35">
      <c r="Z40">
        <v>3.6999999999999998E-2</v>
      </c>
      <c r="AA40">
        <v>0.85464950747049295</v>
      </c>
      <c r="AB40">
        <v>0.125490586462086</v>
      </c>
      <c r="AC40">
        <v>1.9859906067420299E-2</v>
      </c>
      <c r="AD40">
        <v>-6.5856147870741094E-2</v>
      </c>
      <c r="AE40">
        <v>6.10872541014943E-2</v>
      </c>
      <c r="AF40">
        <v>4.7688937692466999E-3</v>
      </c>
      <c r="AI40">
        <v>3.6999999999999998E-2</v>
      </c>
      <c r="AJ40">
        <v>0.82362725510142898</v>
      </c>
      <c r="AK40">
        <v>0.152590643655375</v>
      </c>
      <c r="AL40">
        <v>2.3782101243195301E-2</v>
      </c>
      <c r="AM40">
        <v>-9.6878400239804902E-2</v>
      </c>
      <c r="AN40">
        <v>8.8187311294783299E-2</v>
      </c>
      <c r="AO40">
        <v>8.6910889450216508E-3</v>
      </c>
    </row>
    <row r="41" spans="26:41" x14ac:dyDescent="0.35">
      <c r="Z41">
        <v>3.7999999999999999E-2</v>
      </c>
      <c r="AA41">
        <v>0.85290407052672701</v>
      </c>
      <c r="AB41">
        <v>0.127076214180675</v>
      </c>
      <c r="AC41">
        <v>2.0019715292596201E-2</v>
      </c>
      <c r="AD41">
        <v>-6.7601584814506593E-2</v>
      </c>
      <c r="AE41">
        <v>6.2672881820083806E-2</v>
      </c>
      <c r="AF41">
        <v>4.9287029944226502E-3</v>
      </c>
      <c r="AI41">
        <v>3.7999999999999999E-2</v>
      </c>
      <c r="AJ41">
        <v>0.82111279929873504</v>
      </c>
      <c r="AK41">
        <v>0.15478468787588301</v>
      </c>
      <c r="AL41">
        <v>2.4102512825381901E-2</v>
      </c>
      <c r="AM41">
        <v>-9.93928560424992E-2</v>
      </c>
      <c r="AN41">
        <v>9.0381355515290807E-2</v>
      </c>
      <c r="AO41">
        <v>9.0115005272083295E-3</v>
      </c>
    </row>
    <row r="42" spans="26:41" x14ac:dyDescent="0.35">
      <c r="Z42">
        <v>3.9E-2</v>
      </c>
      <c r="AA42">
        <v>0.85116044279588698</v>
      </c>
      <c r="AB42">
        <v>0.128658402656252</v>
      </c>
      <c r="AC42">
        <v>2.0181154547859698E-2</v>
      </c>
      <c r="AD42">
        <v>-6.9345212545346896E-2</v>
      </c>
      <c r="AE42">
        <v>6.4255070295660702E-2</v>
      </c>
      <c r="AF42">
        <v>5.0901422496861396E-3</v>
      </c>
      <c r="AI42">
        <v>3.9E-2</v>
      </c>
      <c r="AJ42">
        <v>0.81860376086903397</v>
      </c>
      <c r="AK42">
        <v>0.15696899999223499</v>
      </c>
      <c r="AL42">
        <v>2.4427239138729899E-2</v>
      </c>
      <c r="AM42">
        <v>-0.10190189447219899</v>
      </c>
      <c r="AN42">
        <v>9.2565667631643297E-2</v>
      </c>
      <c r="AO42">
        <v>9.3362268405563099E-3</v>
      </c>
    </row>
    <row r="43" spans="26:41" x14ac:dyDescent="0.35">
      <c r="Z43">
        <v>0.04</v>
      </c>
      <c r="AA43">
        <v>0.84941862394852696</v>
      </c>
      <c r="AB43">
        <v>0.130237152004474</v>
      </c>
      <c r="AC43">
        <v>2.0344224046998E-2</v>
      </c>
      <c r="AD43">
        <v>-7.1087031392706695E-2</v>
      </c>
      <c r="AE43">
        <v>6.5833819643882296E-2</v>
      </c>
      <c r="AF43">
        <v>5.2532117488244198E-3</v>
      </c>
      <c r="AI43">
        <v>0.04</v>
      </c>
      <c r="AJ43">
        <v>0.81610013560996197</v>
      </c>
      <c r="AK43">
        <v>0.15914359838657999</v>
      </c>
      <c r="AL43">
        <v>2.47562660034569E-2</v>
      </c>
      <c r="AM43">
        <v>-0.104405519731271</v>
      </c>
      <c r="AN43">
        <v>9.4740266025988396E-2</v>
      </c>
      <c r="AO43">
        <v>9.6652537052833096E-3</v>
      </c>
    </row>
    <row r="44" spans="26:41" x14ac:dyDescent="0.35">
      <c r="Z44">
        <v>4.1000000000000002E-2</v>
      </c>
      <c r="AA44">
        <v>0.84767861365622499</v>
      </c>
      <c r="AB44">
        <v>0.131812462338986</v>
      </c>
      <c r="AC44">
        <v>2.0508924004788501E-2</v>
      </c>
      <c r="AD44">
        <v>-7.2827041685009197E-2</v>
      </c>
      <c r="AE44">
        <v>6.7409129978394197E-2</v>
      </c>
      <c r="AF44">
        <v>5.4179117066148596E-3</v>
      </c>
      <c r="AI44">
        <v>4.1000000000000002E-2</v>
      </c>
      <c r="AJ44">
        <v>0.81360191928516201</v>
      </c>
      <c r="AK44">
        <v>0.16130850145963699</v>
      </c>
      <c r="AL44">
        <v>2.50895792551999E-2</v>
      </c>
      <c r="AM44">
        <v>-0.10690373605607099</v>
      </c>
      <c r="AN44">
        <v>9.6905169099044994E-2</v>
      </c>
      <c r="AO44">
        <v>9.9985669570263301E-3</v>
      </c>
    </row>
    <row r="45" spans="26:41" x14ac:dyDescent="0.35">
      <c r="Z45">
        <v>4.2000000000000003E-2</v>
      </c>
      <c r="AA45">
        <v>0.84594041159157796</v>
      </c>
      <c r="AB45">
        <v>0.133384333771422</v>
      </c>
      <c r="AC45">
        <v>2.0675254636998999E-2</v>
      </c>
      <c r="AD45">
        <v>-7.4565243749655397E-2</v>
      </c>
      <c r="AE45">
        <v>6.8981001410829898E-2</v>
      </c>
      <c r="AF45">
        <v>5.5842423388253997E-3</v>
      </c>
      <c r="AI45">
        <v>4.2000000000000003E-2</v>
      </c>
      <c r="AJ45">
        <v>0.81110910762452104</v>
      </c>
      <c r="AK45">
        <v>0.163463727630318</v>
      </c>
      <c r="AL45">
        <v>2.5427164745159599E-2</v>
      </c>
      <c r="AM45">
        <v>-0.10939654771671201</v>
      </c>
      <c r="AN45">
        <v>9.9060395269726695E-2</v>
      </c>
      <c r="AO45">
        <v>1.0336152446985899E-2</v>
      </c>
    </row>
    <row r="46" spans="26:41" x14ac:dyDescent="0.35">
      <c r="Z46">
        <v>4.2999999999999997E-2</v>
      </c>
      <c r="AA46">
        <v>0.84420401742820805</v>
      </c>
      <c r="AB46">
        <v>0.134952766411403</v>
      </c>
      <c r="AC46">
        <v>2.0843216160388402E-2</v>
      </c>
      <c r="AD46">
        <v>-7.6301637913025994E-2</v>
      </c>
      <c r="AE46">
        <v>7.0549434050811002E-2</v>
      </c>
      <c r="AF46">
        <v>5.7522038622148403E-3</v>
      </c>
      <c r="AI46">
        <v>4.2999999999999997E-2</v>
      </c>
      <c r="AJ46">
        <v>0.80862169632439695</v>
      </c>
      <c r="AK46">
        <v>0.16560929533535901</v>
      </c>
      <c r="AL46">
        <v>2.5769008340243201E-2</v>
      </c>
      <c r="AM46">
        <v>-0.111883959016836</v>
      </c>
      <c r="AN46">
        <v>0.101205962974767</v>
      </c>
      <c r="AO46">
        <v>1.0677996042069499E-2</v>
      </c>
    </row>
    <row r="47" spans="26:41" x14ac:dyDescent="0.35">
      <c r="Z47">
        <v>4.3999999999999997E-2</v>
      </c>
      <c r="AA47">
        <v>0.84246943084075399</v>
      </c>
      <c r="AB47">
        <v>0.13651776036653901</v>
      </c>
      <c r="AC47">
        <v>2.1012808792706901E-2</v>
      </c>
      <c r="AD47">
        <v>-7.80362245004802E-2</v>
      </c>
      <c r="AE47">
        <v>7.2114428005946904E-2</v>
      </c>
      <c r="AF47">
        <v>5.9217964945332798E-3</v>
      </c>
      <c r="AI47">
        <v>4.3999999999999997E-2</v>
      </c>
      <c r="AJ47">
        <v>0.80613968104785305</v>
      </c>
      <c r="AK47">
        <v>0.16774522302893999</v>
      </c>
      <c r="AL47">
        <v>2.6115095923206801E-2</v>
      </c>
      <c r="AM47">
        <v>-0.114365974293381</v>
      </c>
      <c r="AN47">
        <v>0.10334189066834799</v>
      </c>
      <c r="AO47">
        <v>1.10240836250331E-2</v>
      </c>
    </row>
    <row r="48" spans="26:41" x14ac:dyDescent="0.35">
      <c r="Z48">
        <v>4.4999999999999998E-2</v>
      </c>
      <c r="AA48">
        <v>0.84073665150487698</v>
      </c>
      <c r="AB48">
        <v>0.13807931574242599</v>
      </c>
      <c r="AC48">
        <v>2.1184032752696098E-2</v>
      </c>
      <c r="AD48">
        <v>-7.97690038363566E-2</v>
      </c>
      <c r="AE48">
        <v>7.3675983381834106E-2</v>
      </c>
      <c r="AF48">
        <v>6.0930204545224798E-3</v>
      </c>
      <c r="AI48">
        <v>4.4999999999999998E-2</v>
      </c>
      <c r="AJ48">
        <v>0.80366305742488497</v>
      </c>
      <c r="AK48">
        <v>0.16987152918231899</v>
      </c>
      <c r="AL48">
        <v>2.6465413392795699E-2</v>
      </c>
      <c r="AM48">
        <v>-0.116842597916349</v>
      </c>
      <c r="AN48">
        <v>0.10546819682172601</v>
      </c>
      <c r="AO48">
        <v>1.1374401094622E-2</v>
      </c>
    </row>
    <row r="49" spans="26:41" x14ac:dyDescent="0.35">
      <c r="Z49">
        <v>4.5999999999999999E-2</v>
      </c>
      <c r="AA49">
        <v>0.83900567909726098</v>
      </c>
      <c r="AB49">
        <v>0.139637432642648</v>
      </c>
      <c r="AC49">
        <v>2.1356888260089898E-2</v>
      </c>
      <c r="AD49">
        <v>-8.1499976243972802E-2</v>
      </c>
      <c r="AE49">
        <v>7.5234100282056501E-2</v>
      </c>
      <c r="AF49">
        <v>6.2658759619162799E-3</v>
      </c>
      <c r="AI49">
        <v>4.5999999999999999E-2</v>
      </c>
      <c r="AJ49">
        <v>0.80119182105265396</v>
      </c>
      <c r="AK49">
        <v>0.171988232283461</v>
      </c>
      <c r="AL49">
        <v>2.6819946663884101E-2</v>
      </c>
      <c r="AM49">
        <v>-0.119313834288579</v>
      </c>
      <c r="AN49">
        <v>0.107584899922869</v>
      </c>
      <c r="AO49">
        <v>1.17289343657105E-2</v>
      </c>
    </row>
    <row r="50" spans="26:41" x14ac:dyDescent="0.35">
      <c r="Z50">
        <v>4.7E-2</v>
      </c>
      <c r="AA50">
        <v>0.83727651329560804</v>
      </c>
      <c r="AB50">
        <v>0.141192111168777</v>
      </c>
      <c r="AC50">
        <v>2.1531375535614499E-2</v>
      </c>
      <c r="AD50">
        <v>-8.3229142045625995E-2</v>
      </c>
      <c r="AE50">
        <v>7.6788778808184993E-2</v>
      </c>
      <c r="AF50">
        <v>6.4403632374409204E-3</v>
      </c>
      <c r="AI50">
        <v>4.7E-2</v>
      </c>
      <c r="AJ50">
        <v>0.79872596749571301</v>
      </c>
      <c r="AK50">
        <v>0.17409535083667299</v>
      </c>
      <c r="AL50">
        <v>2.7178681667613499E-2</v>
      </c>
      <c r="AM50">
        <v>-0.12177968784552</v>
      </c>
      <c r="AN50">
        <v>0.10969201847608</v>
      </c>
      <c r="AO50">
        <v>1.2087669369439899E-2</v>
      </c>
    </row>
    <row r="51" spans="26:41" x14ac:dyDescent="0.35">
      <c r="Z51">
        <v>4.8000000000000001E-2</v>
      </c>
      <c r="AA51">
        <v>0.83554915377864103</v>
      </c>
      <c r="AB51">
        <v>0.14274335142036901</v>
      </c>
      <c r="AC51">
        <v>2.1707494800989099E-2</v>
      </c>
      <c r="AD51">
        <v>-8.4956501562592407E-2</v>
      </c>
      <c r="AE51">
        <v>7.8340019059776902E-2</v>
      </c>
      <c r="AF51">
        <v>6.61648250281552E-3</v>
      </c>
      <c r="AI51">
        <v>4.8000000000000001E-2</v>
      </c>
      <c r="AJ51">
        <v>0.796265492286236</v>
      </c>
      <c r="AK51">
        <v>0.17619290336223301</v>
      </c>
      <c r="AL51">
        <v>2.7541604351529601E-2</v>
      </c>
      <c r="AM51">
        <v>-0.12424016305499699</v>
      </c>
      <c r="AN51">
        <v>0.111789571001641</v>
      </c>
      <c r="AO51">
        <v>1.2450592053356E-2</v>
      </c>
    </row>
    <row r="52" spans="26:41" x14ac:dyDescent="0.35">
      <c r="Z52">
        <v>4.9000000000000002E-2</v>
      </c>
      <c r="AA52">
        <v>0.83382360022610502</v>
      </c>
      <c r="AB52">
        <v>0.14429115349496799</v>
      </c>
      <c r="AC52">
        <v>2.1885246278926001E-2</v>
      </c>
      <c r="AD52">
        <v>-8.66820551151289E-2</v>
      </c>
      <c r="AE52">
        <v>7.98878211343763E-2</v>
      </c>
      <c r="AF52">
        <v>6.7942339807523901E-3</v>
      </c>
      <c r="AI52">
        <v>4.9000000000000002E-2</v>
      </c>
      <c r="AJ52">
        <v>0.79381039092424699</v>
      </c>
      <c r="AK52">
        <v>0.178280908396034</v>
      </c>
      <c r="AL52">
        <v>2.7908700679718401E-2</v>
      </c>
      <c r="AM52">
        <v>-0.126695264416986</v>
      </c>
      <c r="AN52">
        <v>0.113877576035442</v>
      </c>
      <c r="AO52">
        <v>1.2817688381544699E-2</v>
      </c>
    </row>
    <row r="53" spans="26:41" x14ac:dyDescent="0.35">
      <c r="Z53">
        <v>0.05</v>
      </c>
      <c r="AA53">
        <v>0.83209985231876304</v>
      </c>
      <c r="AB53">
        <v>0.145835517488105</v>
      </c>
      <c r="AC53">
        <v>2.20646301931311E-2</v>
      </c>
      <c r="AD53">
        <v>-8.8405803022470905E-2</v>
      </c>
      <c r="AE53">
        <v>8.1432185127513296E-2</v>
      </c>
      <c r="AF53">
        <v>6.9736178949574698E-3</v>
      </c>
      <c r="AI53">
        <v>0.05</v>
      </c>
      <c r="AJ53">
        <v>0.79136065887784401</v>
      </c>
      <c r="AK53">
        <v>0.18035938448921399</v>
      </c>
      <c r="AL53">
        <v>2.82799566329409E-2</v>
      </c>
      <c r="AM53">
        <v>-0.12914499646338901</v>
      </c>
      <c r="AN53">
        <v>0.11595605212862201</v>
      </c>
      <c r="AO53">
        <v>1.3188944334767199E-2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D369-FE0A-47A3-B085-2B77E4DFCBE2}">
  <dimension ref="A1:AS52"/>
  <sheetViews>
    <sheetView workbookViewId="0">
      <selection activeCell="Q26" sqref="Q26"/>
    </sheetView>
  </sheetViews>
  <sheetFormatPr defaultRowHeight="14.5" x14ac:dyDescent="0.35"/>
  <cols>
    <col min="15" max="15" width="13.36328125" customWidth="1"/>
    <col min="16" max="16" width="12.7265625" customWidth="1"/>
  </cols>
  <sheetData>
    <row r="1" spans="1:45" x14ac:dyDescent="0.35">
      <c r="Z1" t="s">
        <v>20</v>
      </c>
      <c r="AA1" t="s">
        <v>10</v>
      </c>
      <c r="AB1" t="s">
        <v>2</v>
      </c>
      <c r="AC1" t="s">
        <v>3</v>
      </c>
      <c r="AD1" t="s">
        <v>4</v>
      </c>
      <c r="AE1" t="s">
        <v>19</v>
      </c>
      <c r="AF1" t="s">
        <v>7</v>
      </c>
      <c r="AG1" t="s">
        <v>8</v>
      </c>
      <c r="AH1" t="s">
        <v>9</v>
      </c>
      <c r="AK1" t="s">
        <v>21</v>
      </c>
      <c r="AL1" t="s">
        <v>10</v>
      </c>
      <c r="AM1" t="s">
        <v>2</v>
      </c>
      <c r="AN1" t="s">
        <v>3</v>
      </c>
      <c r="AO1" t="s">
        <v>4</v>
      </c>
      <c r="AP1" t="s">
        <v>19</v>
      </c>
      <c r="AQ1" t="s">
        <v>7</v>
      </c>
      <c r="AR1" t="s">
        <v>8</v>
      </c>
      <c r="AS1" t="s">
        <v>9</v>
      </c>
    </row>
    <row r="2" spans="1:45" x14ac:dyDescent="0.35">
      <c r="AA2">
        <v>0</v>
      </c>
      <c r="AB2">
        <v>0.95288204547114497</v>
      </c>
      <c r="AC2">
        <v>3.4961185155862398E-2</v>
      </c>
      <c r="AD2">
        <v>1.21567693729918E-2</v>
      </c>
      <c r="AL2">
        <v>0</v>
      </c>
      <c r="AM2">
        <v>0.95288204547114497</v>
      </c>
      <c r="AN2">
        <v>3.4961185155862398E-2</v>
      </c>
      <c r="AO2">
        <v>1.21567693729918E-2</v>
      </c>
    </row>
    <row r="3" spans="1:45" x14ac:dyDescent="0.35">
      <c r="A3" s="2" t="s">
        <v>1</v>
      </c>
      <c r="AA3">
        <v>1E-3</v>
      </c>
      <c r="AB3">
        <v>0.95100007408750697</v>
      </c>
      <c r="AC3">
        <v>3.6796634245322403E-2</v>
      </c>
      <c r="AD3">
        <v>1.22032916671701E-2</v>
      </c>
      <c r="AE3">
        <v>-1.88197138363821E-3</v>
      </c>
      <c r="AF3">
        <v>1.8354490894599701E-3</v>
      </c>
      <c r="AG3" s="5">
        <v>4.6522294178296502E-5</v>
      </c>
      <c r="AH3">
        <f>AG3/AF3</f>
        <v>2.5346545673998723E-2</v>
      </c>
      <c r="AL3">
        <v>1E-3</v>
      </c>
      <c r="AM3">
        <v>0.95006051587545004</v>
      </c>
      <c r="AN3">
        <v>3.77115887871134E-2</v>
      </c>
      <c r="AO3">
        <v>1.2227895337435801E-2</v>
      </c>
      <c r="AP3">
        <v>-2.8215295956949202E-3</v>
      </c>
      <c r="AQ3">
        <v>2.7504036312509601E-3</v>
      </c>
      <c r="AR3" s="5">
        <v>7.1125964444038501E-5</v>
      </c>
      <c r="AS3">
        <f>AR3/AQ3</f>
        <v>2.5860191440951679E-2</v>
      </c>
    </row>
    <row r="4" spans="1:45" x14ac:dyDescent="0.35"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s="3" t="s">
        <v>13</v>
      </c>
      <c r="O4" t="s">
        <v>14</v>
      </c>
      <c r="P4" t="s">
        <v>15</v>
      </c>
      <c r="Q4" t="s">
        <v>13</v>
      </c>
      <c r="AA4">
        <v>2E-3</v>
      </c>
      <c r="AB4">
        <v>0.94911996033788704</v>
      </c>
      <c r="AC4">
        <v>3.8628430838176103E-2</v>
      </c>
      <c r="AD4">
        <v>1.22516088239365E-2</v>
      </c>
      <c r="AE4">
        <v>-3.7620851332583701E-3</v>
      </c>
      <c r="AF4">
        <v>3.6672456823136999E-3</v>
      </c>
      <c r="AG4" s="5">
        <v>9.4839450944701005E-5</v>
      </c>
      <c r="AH4">
        <f t="shared" ref="AH4:AH52" si="0">AG4/AF4</f>
        <v>2.58612209708475E-2</v>
      </c>
      <c r="AL4">
        <v>2E-3</v>
      </c>
      <c r="AM4">
        <v>0.94724462703220902</v>
      </c>
      <c r="AN4">
        <v>4.0450985080834397E-2</v>
      </c>
      <c r="AO4">
        <v>1.23043878869558E-2</v>
      </c>
      <c r="AP4">
        <v>-5.6374184389359396E-3</v>
      </c>
      <c r="AQ4">
        <v>5.4897999249719403E-3</v>
      </c>
      <c r="AR4">
        <v>1.4761851396398199E-4</v>
      </c>
      <c r="AS4">
        <f t="shared" ref="AS4:AS52" si="1">AR4/AQ4</f>
        <v>2.6889598160489702E-2</v>
      </c>
    </row>
    <row r="5" spans="1:45" x14ac:dyDescent="0.35">
      <c r="A5" t="s">
        <v>16</v>
      </c>
      <c r="B5">
        <v>1</v>
      </c>
      <c r="C5" s="4">
        <v>0.82547900456827605</v>
      </c>
      <c r="D5" s="4">
        <v>0.15794059733861601</v>
      </c>
      <c r="E5" s="4">
        <v>1.6580398093107799E-2</v>
      </c>
      <c r="F5">
        <f>D5/SUM(C5:E5)</f>
        <v>0.15794059733861604</v>
      </c>
      <c r="G5">
        <f>E5/SUM(C5:E5)</f>
        <v>1.6580398093107802E-2</v>
      </c>
      <c r="H5">
        <f>F5-0.035</f>
        <v>0.12294059733861604</v>
      </c>
      <c r="I5">
        <f>G5-0.012157</f>
        <v>4.423398093107803E-3</v>
      </c>
      <c r="J5">
        <f>I5/H5</f>
        <v>3.5979962590586827E-2</v>
      </c>
      <c r="K5">
        <v>3.3574678927720883E-2</v>
      </c>
      <c r="L5">
        <v>5.8641154767815902E-2</v>
      </c>
      <c r="M5">
        <v>8.5046898170450497E-2</v>
      </c>
      <c r="N5" s="3">
        <f>H5*SLOPE($L$16:$M$16,L5:M5)+INTERCEPT($L$16:$M$16,L5:M5)</f>
        <v>4.435055191984663</v>
      </c>
      <c r="O5">
        <v>4.2354134242697065E-2</v>
      </c>
      <c r="P5">
        <v>5.9897074142205561E-2</v>
      </c>
      <c r="Q5" s="3">
        <f>J5*SLOPE($L$32:$M$32,O5:P5)+INTERCEPT($L$32:$M$32,O5:P5)</f>
        <v>1.6366531671074802</v>
      </c>
      <c r="R5">
        <f>AVERAGE(Q5:Q9)</f>
        <v>1.9222654692415309</v>
      </c>
      <c r="S5">
        <f>STDEV(Q5:Q9)/SQRT(5)</f>
        <v>0.16615403263086392</v>
      </c>
      <c r="T5">
        <f>(Q5-3.5)/1.5</f>
        <v>-1.2422312219283465</v>
      </c>
      <c r="AA5">
        <v>3.0000000000000001E-3</v>
      </c>
      <c r="AB5">
        <v>0.94724170410401398</v>
      </c>
      <c r="AC5">
        <v>4.0456574914910497E-2</v>
      </c>
      <c r="AD5">
        <v>1.2301720981075299E-2</v>
      </c>
      <c r="AE5">
        <v>-5.6403413671315397E-3</v>
      </c>
      <c r="AF5">
        <v>5.4953897590481297E-3</v>
      </c>
      <c r="AG5">
        <v>1.4495160808350701E-4</v>
      </c>
      <c r="AH5">
        <f t="shared" si="0"/>
        <v>2.6376947666877489E-2</v>
      </c>
      <c r="AL5">
        <v>3.0000000000000001E-3</v>
      </c>
      <c r="AM5">
        <v>0.94443437773431604</v>
      </c>
      <c r="AN5">
        <v>4.3179391167879499E-2</v>
      </c>
      <c r="AO5">
        <v>1.2386231097804099E-2</v>
      </c>
      <c r="AP5">
        <v>-8.4476677368294697E-3</v>
      </c>
      <c r="AQ5">
        <v>8.2182060120171204E-3</v>
      </c>
      <c r="AR5">
        <v>2.29461724812338E-4</v>
      </c>
      <c r="AS5">
        <f t="shared" si="1"/>
        <v>2.7921145378542012E-2</v>
      </c>
    </row>
    <row r="6" spans="1:45" x14ac:dyDescent="0.35">
      <c r="B6">
        <v>2</v>
      </c>
      <c r="C6" s="4">
        <v>0.79733379765656198</v>
      </c>
      <c r="D6" s="4">
        <v>0.18161675570525701</v>
      </c>
      <c r="E6" s="4">
        <v>2.1049446638180602E-2</v>
      </c>
      <c r="F6">
        <f t="shared" ref="F6:F9" si="2">D6/SUM(C6:E6)</f>
        <v>0.18161675570525707</v>
      </c>
      <c r="G6">
        <f t="shared" ref="G6:G9" si="3">E6/SUM(C6:E6)</f>
        <v>2.1049446638180608E-2</v>
      </c>
      <c r="H6">
        <f t="shared" ref="H6:H9" si="4">F6-0.035</f>
        <v>0.14661675570525706</v>
      </c>
      <c r="I6">
        <f t="shared" ref="I6:I9" si="5">G6-0.012157</f>
        <v>8.8924466381806091E-3</v>
      </c>
      <c r="J6">
        <f t="shared" ref="J6:J9" si="6">I6/H6</f>
        <v>6.0650957630361504E-2</v>
      </c>
      <c r="K6">
        <v>4.5534384183177054E-2</v>
      </c>
      <c r="L6">
        <v>7.8978812933089101E-2</v>
      </c>
      <c r="M6">
        <v>0.113121028691044</v>
      </c>
      <c r="N6" s="3">
        <f t="shared" ref="N6:N9" si="7">H6*SLOPE($L$16:$M$16,L6:M6)+INTERCEPT($L$16:$M$16,L6:M6)</f>
        <v>3.9810648275341887</v>
      </c>
      <c r="O6">
        <v>4.9031463882804993E-2</v>
      </c>
      <c r="P6">
        <v>7.3271456562069071E-2</v>
      </c>
      <c r="Q6" s="3">
        <f t="shared" ref="Q6:Q9" si="8">J6*SLOPE($L$32:$M$32,O6:P6)+INTERCEPT($L$32:$M$32,O6:P6)</f>
        <v>2.4793521970613597</v>
      </c>
      <c r="T6">
        <f t="shared" ref="T6:T9" si="9">(Q6-3.5)/1.5</f>
        <v>-0.68043186862576022</v>
      </c>
      <c r="AA6">
        <v>4.0000000000000001E-3</v>
      </c>
      <c r="AB6">
        <v>0.94536530526810703</v>
      </c>
      <c r="AC6">
        <v>4.2281066455023199E-2</v>
      </c>
      <c r="AD6">
        <v>1.23536282768695E-2</v>
      </c>
      <c r="AE6">
        <v>-7.5167402030383804E-3</v>
      </c>
      <c r="AF6">
        <v>7.3198812991608197E-3</v>
      </c>
      <c r="AG6">
        <v>1.9685890387768199E-4</v>
      </c>
      <c r="AH6">
        <f t="shared" si="0"/>
        <v>2.6893728987142276E-2</v>
      </c>
      <c r="AL6">
        <v>4.0000000000000001E-3</v>
      </c>
      <c r="AM6">
        <v>0.94162976671889398</v>
      </c>
      <c r="AN6">
        <v>4.5896824230824099E-2</v>
      </c>
      <c r="AO6">
        <v>1.2473409050280901E-2</v>
      </c>
      <c r="AP6">
        <v>-1.12522787522507E-2</v>
      </c>
      <c r="AQ6">
        <v>1.09356390749616E-2</v>
      </c>
      <c r="AR6">
        <v>3.1663967728916102E-4</v>
      </c>
      <c r="AS6">
        <f t="shared" si="1"/>
        <v>2.8954839778330275E-2</v>
      </c>
    </row>
    <row r="7" spans="1:45" x14ac:dyDescent="0.35">
      <c r="B7">
        <v>3</v>
      </c>
      <c r="C7" s="4">
        <v>0.81284702919107499</v>
      </c>
      <c r="D7" s="4">
        <v>0.16905542851156499</v>
      </c>
      <c r="E7" s="4">
        <v>1.8097542297359999E-2</v>
      </c>
      <c r="F7">
        <f t="shared" si="2"/>
        <v>0.16905542851156499</v>
      </c>
      <c r="G7">
        <f t="shared" si="3"/>
        <v>1.8097542297359999E-2</v>
      </c>
      <c r="H7">
        <f t="shared" si="4"/>
        <v>0.13405542851156499</v>
      </c>
      <c r="I7">
        <f t="shared" si="5"/>
        <v>5.9405422973599995E-3</v>
      </c>
      <c r="J7">
        <f t="shared" si="6"/>
        <v>4.431407488170095E-2</v>
      </c>
      <c r="K7">
        <v>4.3843577736610684E-2</v>
      </c>
      <c r="L7">
        <v>7.5625743384340902E-2</v>
      </c>
      <c r="M7">
        <v>0.108545001698683</v>
      </c>
      <c r="N7" s="3">
        <f t="shared" si="7"/>
        <v>3.7749392944788109</v>
      </c>
      <c r="O7">
        <v>4.8468494485598819E-2</v>
      </c>
      <c r="P7">
        <v>7.2143610900619506E-2</v>
      </c>
      <c r="Q7" s="3">
        <f t="shared" si="8"/>
        <v>1.824523794051458</v>
      </c>
      <c r="T7">
        <f t="shared" si="9"/>
        <v>-1.1169841372990279</v>
      </c>
      <c r="AA7">
        <v>5.0000000000000001E-3</v>
      </c>
      <c r="AB7">
        <v>0.94349076371287599</v>
      </c>
      <c r="AC7">
        <v>4.4101905437022401E-2</v>
      </c>
      <c r="AD7">
        <v>1.24073308501008E-2</v>
      </c>
      <c r="AE7">
        <v>-9.3912817582688605E-3</v>
      </c>
      <c r="AF7">
        <v>9.1407202811599805E-3</v>
      </c>
      <c r="AG7">
        <v>2.5056147710900601E-4</v>
      </c>
      <c r="AH7">
        <f t="shared" si="0"/>
        <v>2.7411568169900185E-2</v>
      </c>
      <c r="AL7">
        <v>5.0000000000000001E-3</v>
      </c>
      <c r="AM7">
        <v>0.93883079266759295</v>
      </c>
      <c r="AN7">
        <v>4.8603301503408497E-2</v>
      </c>
      <c r="AO7">
        <v>1.2565905828998299E-2</v>
      </c>
      <c r="AP7">
        <v>-1.4051252803552501E-2</v>
      </c>
      <c r="AQ7">
        <v>1.3642116347546E-2</v>
      </c>
      <c r="AR7">
        <v>4.0913645600654702E-4</v>
      </c>
      <c r="AS7">
        <f t="shared" si="1"/>
        <v>2.9990688070927071E-2</v>
      </c>
    </row>
    <row r="8" spans="1:45" x14ac:dyDescent="0.35">
      <c r="B8">
        <v>4</v>
      </c>
      <c r="C8" s="4">
        <v>0.82164429448521303</v>
      </c>
      <c r="D8" s="4">
        <v>0.161346079408205</v>
      </c>
      <c r="E8" s="4">
        <v>1.7009626106582E-2</v>
      </c>
      <c r="F8">
        <f t="shared" si="2"/>
        <v>0.161346079408205</v>
      </c>
      <c r="G8">
        <f t="shared" si="3"/>
        <v>1.7009626106582E-2</v>
      </c>
      <c r="H8">
        <f t="shared" si="4"/>
        <v>0.126346079408205</v>
      </c>
      <c r="I8">
        <f t="shared" si="5"/>
        <v>4.8526261065820007E-3</v>
      </c>
      <c r="J8">
        <f t="shared" si="6"/>
        <v>3.8407413425975034E-2</v>
      </c>
      <c r="K8">
        <v>4.3799842630698568E-2</v>
      </c>
      <c r="L8">
        <v>7.7304105274052001E-2</v>
      </c>
      <c r="M8">
        <v>0.110838130509779</v>
      </c>
      <c r="N8" s="3">
        <f t="shared" si="7"/>
        <v>3.4624541429015179</v>
      </c>
      <c r="O8">
        <v>4.8468494485598819E-2</v>
      </c>
      <c r="P8">
        <v>7.2143610900619506E-2</v>
      </c>
      <c r="Q8" s="3">
        <f t="shared" si="8"/>
        <v>1.5750356246087756</v>
      </c>
      <c r="T8">
        <f t="shared" si="9"/>
        <v>-1.2833095835941497</v>
      </c>
      <c r="AA8">
        <v>6.0000000000000001E-3</v>
      </c>
      <c r="AB8">
        <v>0.94161807932152297</v>
      </c>
      <c r="AC8">
        <v>4.5919091838426698E-2</v>
      </c>
      <c r="AD8">
        <v>1.246282884005E-2</v>
      </c>
      <c r="AE8">
        <v>-1.1263966149622299E-2</v>
      </c>
      <c r="AF8">
        <v>1.09579066825642E-2</v>
      </c>
      <c r="AG8">
        <v>3.0605946705818099E-4</v>
      </c>
      <c r="AH8">
        <f t="shared" si="0"/>
        <v>2.7930468466679962E-2</v>
      </c>
      <c r="AL8">
        <v>6.0000000000000001E-3</v>
      </c>
      <c r="AM8">
        <v>0.93603745420687101</v>
      </c>
      <c r="AN8">
        <v>5.1298840269984797E-2</v>
      </c>
      <c r="AO8">
        <v>1.26637055231433E-2</v>
      </c>
      <c r="AP8">
        <v>-1.68445912642738E-2</v>
      </c>
      <c r="AQ8">
        <v>1.6337655114122301E-2</v>
      </c>
      <c r="AR8">
        <v>5.0693615015150303E-4</v>
      </c>
      <c r="AS8">
        <f t="shared" si="1"/>
        <v>3.1028696995403362E-2</v>
      </c>
    </row>
    <row r="9" spans="1:45" x14ac:dyDescent="0.35">
      <c r="B9">
        <v>5</v>
      </c>
      <c r="C9" s="4">
        <v>0.80894611386366799</v>
      </c>
      <c r="D9" s="4">
        <v>0.172429344859343</v>
      </c>
      <c r="E9" s="4">
        <v>1.8624541276989402E-2</v>
      </c>
      <c r="F9">
        <f t="shared" si="2"/>
        <v>0.17242934485934291</v>
      </c>
      <c r="G9">
        <f t="shared" si="3"/>
        <v>1.8624541276989395E-2</v>
      </c>
      <c r="H9">
        <f t="shared" si="4"/>
        <v>0.13742934485934291</v>
      </c>
      <c r="I9">
        <f t="shared" si="5"/>
        <v>6.4675412769893952E-3</v>
      </c>
      <c r="J9">
        <f t="shared" si="6"/>
        <v>4.7060846310581168E-2</v>
      </c>
      <c r="K9">
        <v>3.8264149957200982E-2</v>
      </c>
      <c r="L9">
        <v>6.7179122582233297E-2</v>
      </c>
      <c r="M9">
        <v>9.6925239640982194E-2</v>
      </c>
      <c r="N9" s="3">
        <f t="shared" si="7"/>
        <v>4.3616602509283711</v>
      </c>
      <c r="O9">
        <v>4.5115724692472506E-2</v>
      </c>
      <c r="P9">
        <v>6.5427645650759494E-2</v>
      </c>
      <c r="Q9" s="3">
        <f t="shared" si="8"/>
        <v>2.0957625633785799</v>
      </c>
      <c r="T9">
        <f t="shared" si="9"/>
        <v>-0.93615829108094673</v>
      </c>
      <c r="AA9">
        <v>7.0000000000000001E-3</v>
      </c>
      <c r="AB9">
        <v>0.93974725197773801</v>
      </c>
      <c r="AC9">
        <v>4.7732625635765101E-2</v>
      </c>
      <c r="AD9">
        <v>1.25201223864968E-2</v>
      </c>
      <c r="AE9">
        <v>-1.3134793493407499E-2</v>
      </c>
      <c r="AF9">
        <v>1.2771440479902699E-2</v>
      </c>
      <c r="AG9">
        <v>3.6335301350497E-4</v>
      </c>
      <c r="AH9">
        <f t="shared" si="0"/>
        <v>2.8450433142349674E-2</v>
      </c>
      <c r="AL9">
        <v>7.0000000000000001E-3</v>
      </c>
      <c r="AM9">
        <v>0.93324974990829601</v>
      </c>
      <c r="AN9">
        <v>5.3983457864964397E-2</v>
      </c>
      <c r="AO9">
        <v>1.2766792226738899E-2</v>
      </c>
      <c r="AP9">
        <v>-1.9632295562849001E-2</v>
      </c>
      <c r="AQ9">
        <v>1.9022272709101999E-2</v>
      </c>
      <c r="AR9">
        <v>6.1002285374711402E-4</v>
      </c>
      <c r="AS9">
        <f t="shared" si="1"/>
        <v>3.2068873318971146E-2</v>
      </c>
    </row>
    <row r="10" spans="1:45" x14ac:dyDescent="0.35">
      <c r="AA10">
        <v>8.0000000000000002E-3</v>
      </c>
      <c r="AB10">
        <v>0.93787828156570296</v>
      </c>
      <c r="AC10">
        <v>4.9542506804576898E-2</v>
      </c>
      <c r="AD10">
        <v>1.2579211629720101E-2</v>
      </c>
      <c r="AE10">
        <v>-1.5003763905442599E-2</v>
      </c>
      <c r="AF10">
        <v>1.4581321648714399E-2</v>
      </c>
      <c r="AG10">
        <v>4.2244225672829599E-4</v>
      </c>
      <c r="AH10">
        <f t="shared" si="0"/>
        <v>2.8971465475184942E-2</v>
      </c>
      <c r="AL10">
        <v>8.0000000000000002E-3</v>
      </c>
      <c r="AM10">
        <v>0.93046767828882704</v>
      </c>
      <c r="AN10">
        <v>5.6657171672268199E-2</v>
      </c>
      <c r="AO10">
        <v>1.2875150038903899E-2</v>
      </c>
      <c r="AP10">
        <v>-2.2414367182317801E-2</v>
      </c>
      <c r="AQ10">
        <v>2.16959865164057E-2</v>
      </c>
      <c r="AR10">
        <v>7.1838066591215898E-4</v>
      </c>
      <c r="AS10">
        <f t="shared" si="1"/>
        <v>3.3111223837134399E-2</v>
      </c>
    </row>
    <row r="11" spans="1:45" x14ac:dyDescent="0.35">
      <c r="AA11">
        <v>8.9999999999999993E-3</v>
      </c>
      <c r="AB11">
        <v>0.93601116797008999</v>
      </c>
      <c r="AC11">
        <v>5.1348735319411302E-2</v>
      </c>
      <c r="AD11">
        <v>1.26400967104982E-2</v>
      </c>
      <c r="AE11">
        <v>-1.68708775010552E-2</v>
      </c>
      <c r="AF11">
        <v>1.6387550163548901E-2</v>
      </c>
      <c r="AG11">
        <v>4.8332733750641E-4</v>
      </c>
      <c r="AH11">
        <f t="shared" si="0"/>
        <v>2.9493568756938607E-2</v>
      </c>
      <c r="AL11">
        <v>8.9999999999999993E-3</v>
      </c>
      <c r="AM11">
        <v>0.92769123781111096</v>
      </c>
      <c r="AN11">
        <v>5.9319999124777902E-2</v>
      </c>
      <c r="AO11">
        <v>1.29887630641108E-2</v>
      </c>
      <c r="AP11">
        <v>-2.5190807660034401E-2</v>
      </c>
      <c r="AQ11">
        <v>2.43588139689155E-2</v>
      </c>
      <c r="AR11">
        <v>8.3199369111898198E-4</v>
      </c>
      <c r="AS11">
        <f t="shared" si="1"/>
        <v>3.4155755373832919E-2</v>
      </c>
    </row>
    <row r="12" spans="1:45" x14ac:dyDescent="0.35">
      <c r="AA12">
        <v>0.01</v>
      </c>
      <c r="AB12">
        <v>0.93414591107606304</v>
      </c>
      <c r="AC12">
        <v>5.3151311153827499E-2</v>
      </c>
      <c r="AD12">
        <v>1.2702777770108699E-2</v>
      </c>
      <c r="AE12">
        <v>-1.8736134395082E-2</v>
      </c>
      <c r="AF12">
        <v>1.8190125997965101E-2</v>
      </c>
      <c r="AG12">
        <v>5.4600839711696101E-4</v>
      </c>
      <c r="AH12">
        <f t="shared" si="0"/>
        <v>3.0016746292908694E-2</v>
      </c>
      <c r="AL12">
        <v>0.01</v>
      </c>
      <c r="AM12">
        <v>0.92492042688376697</v>
      </c>
      <c r="AN12">
        <v>6.1971957703790402E-2</v>
      </c>
      <c r="AO12">
        <v>1.31076154124416E-2</v>
      </c>
      <c r="AP12">
        <v>-2.7961618587377699E-2</v>
      </c>
      <c r="AQ12">
        <v>2.70107725479279E-2</v>
      </c>
      <c r="AR12">
        <v>9.5084603944981297E-4</v>
      </c>
      <c r="AS12">
        <f t="shared" si="1"/>
        <v>3.5202474781594356E-2</v>
      </c>
    </row>
    <row r="13" spans="1:45" x14ac:dyDescent="0.35">
      <c r="AA13">
        <v>1.0999999999999999E-2</v>
      </c>
      <c r="AB13">
        <v>0.93228251076927604</v>
      </c>
      <c r="AC13">
        <v>5.4950234280394597E-2</v>
      </c>
      <c r="AD13">
        <v>1.2767254950329E-2</v>
      </c>
      <c r="AE13">
        <v>-2.05995347018691E-2</v>
      </c>
      <c r="AF13">
        <v>1.9989049124532102E-2</v>
      </c>
      <c r="AG13">
        <v>6.1048557733717201E-4</v>
      </c>
      <c r="AH13">
        <f t="shared" si="0"/>
        <v>3.0541001402009518E-2</v>
      </c>
      <c r="AL13">
        <v>1.0999999999999999E-2</v>
      </c>
      <c r="AM13">
        <v>0.92215524386168402</v>
      </c>
      <c r="AN13">
        <v>6.4613064938472298E-2</v>
      </c>
      <c r="AO13">
        <v>1.32316911998432E-2</v>
      </c>
      <c r="AP13">
        <v>-3.0726801609461198E-2</v>
      </c>
      <c r="AQ13">
        <v>2.96518797826099E-2</v>
      </c>
      <c r="AR13">
        <v>1.0749218268514E-3</v>
      </c>
      <c r="AS13">
        <f t="shared" si="1"/>
        <v>3.6251388941682387E-2</v>
      </c>
    </row>
    <row r="14" spans="1:45" x14ac:dyDescent="0.35">
      <c r="AA14">
        <v>1.2E-2</v>
      </c>
      <c r="AB14">
        <v>0.93042096693587295</v>
      </c>
      <c r="AC14">
        <v>5.6745504670691199E-2</v>
      </c>
      <c r="AD14">
        <v>1.2833528393435699E-2</v>
      </c>
      <c r="AE14">
        <v>-2.2461078535272599E-2</v>
      </c>
      <c r="AF14">
        <v>2.17843195148287E-2</v>
      </c>
      <c r="AG14">
        <v>6.7675902044392496E-4</v>
      </c>
      <c r="AH14">
        <f t="shared" si="0"/>
        <v>3.1066337416840197E-2</v>
      </c>
      <c r="AL14">
        <v>1.2E-2</v>
      </c>
      <c r="AM14">
        <v>0.91939568704630203</v>
      </c>
      <c r="AN14">
        <v>6.7243338405318098E-2</v>
      </c>
      <c r="AO14">
        <v>1.3360974548379799E-2</v>
      </c>
      <c r="AP14">
        <v>-3.3486358424843599E-2</v>
      </c>
      <c r="AQ14">
        <v>3.22821532494557E-2</v>
      </c>
      <c r="AR14">
        <v>1.2042051753880501E-3</v>
      </c>
      <c r="AS14">
        <f t="shared" si="1"/>
        <v>3.7302504764249386E-2</v>
      </c>
    </row>
    <row r="15" spans="1:45" x14ac:dyDescent="0.35">
      <c r="AA15">
        <v>1.2999999999999999E-2</v>
      </c>
      <c r="AB15">
        <v>0.92856127946248801</v>
      </c>
      <c r="AC15">
        <v>5.8537122295305402E-2</v>
      </c>
      <c r="AD15">
        <v>1.29015982422057E-2</v>
      </c>
      <c r="AE15">
        <v>-2.4320766008656802E-2</v>
      </c>
      <c r="AF15">
        <v>2.3575937139443E-2</v>
      </c>
      <c r="AG15">
        <v>7.4482886921392198E-4</v>
      </c>
      <c r="AH15">
        <f t="shared" si="0"/>
        <v>3.1592757683757515E-2</v>
      </c>
      <c r="AL15">
        <v>1.2999999999999999E-2</v>
      </c>
      <c r="AM15">
        <v>0.91664175468590603</v>
      </c>
      <c r="AN15">
        <v>6.9862795727609006E-2</v>
      </c>
      <c r="AO15">
        <v>1.3495449586484701E-2</v>
      </c>
      <c r="AP15">
        <v>-3.6240290785239403E-2</v>
      </c>
      <c r="AQ15">
        <v>3.4901610571746497E-2</v>
      </c>
      <c r="AR15">
        <v>1.3386802134929599E-3</v>
      </c>
      <c r="AS15">
        <f t="shared" si="1"/>
        <v>3.8355829188485832E-2</v>
      </c>
    </row>
    <row r="16" spans="1:45" x14ac:dyDescent="0.35">
      <c r="L16">
        <v>2</v>
      </c>
      <c r="M16">
        <v>3</v>
      </c>
      <c r="AA16">
        <v>1.4E-2</v>
      </c>
      <c r="AB16">
        <v>0.92670344823624895</v>
      </c>
      <c r="AC16">
        <v>6.0325087123835101E-2</v>
      </c>
      <c r="AD16">
        <v>1.29714646399156E-2</v>
      </c>
      <c r="AE16">
        <v>-2.6178597234896302E-2</v>
      </c>
      <c r="AF16">
        <v>2.5363901967972599E-2</v>
      </c>
      <c r="AG16">
        <v>8.1469526692378195E-4</v>
      </c>
      <c r="AH16">
        <f t="shared" si="0"/>
        <v>3.212026556294495E-2</v>
      </c>
      <c r="AL16">
        <v>1.4E-2</v>
      </c>
      <c r="AM16">
        <v>0.91389344497591496</v>
      </c>
      <c r="AN16">
        <v>7.2471454574874403E-2</v>
      </c>
      <c r="AO16">
        <v>1.36351004492098E-2</v>
      </c>
      <c r="AP16">
        <v>-3.8988600495229897E-2</v>
      </c>
      <c r="AQ16">
        <v>3.75102694190119E-2</v>
      </c>
      <c r="AR16">
        <v>1.4783310762179801E-3</v>
      </c>
      <c r="AS16">
        <f t="shared" si="1"/>
        <v>3.941136918277359E-2</v>
      </c>
    </row>
    <row r="17" spans="1:45" x14ac:dyDescent="0.35">
      <c r="AA17">
        <v>1.4999999999999999E-2</v>
      </c>
      <c r="AB17">
        <v>0.924847473144771</v>
      </c>
      <c r="AC17">
        <v>6.2109399124886902E-2</v>
      </c>
      <c r="AD17">
        <v>1.3043127730342E-2</v>
      </c>
      <c r="AE17">
        <v>-2.8034572326374602E-2</v>
      </c>
      <c r="AF17">
        <v>2.71482139690244E-2</v>
      </c>
      <c r="AG17">
        <v>8.8635835735018705E-4</v>
      </c>
      <c r="AH17">
        <f t="shared" si="0"/>
        <v>3.2648864428485247E-2</v>
      </c>
      <c r="AL17">
        <v>1.4999999999999999E-2</v>
      </c>
      <c r="AM17">
        <v>0.91115075605917095</v>
      </c>
      <c r="AN17">
        <v>7.5069332662354799E-2</v>
      </c>
      <c r="AO17">
        <v>1.3779911278473601E-2</v>
      </c>
      <c r="AP17">
        <v>-4.1731289411974098E-2</v>
      </c>
      <c r="AQ17">
        <v>4.01081475064924E-2</v>
      </c>
      <c r="AR17">
        <v>1.6231419054817699E-3</v>
      </c>
      <c r="AS17">
        <f t="shared" si="1"/>
        <v>4.0469131744841319E-2</v>
      </c>
    </row>
    <row r="18" spans="1:45" x14ac:dyDescent="0.35">
      <c r="A18" s="2" t="s">
        <v>18</v>
      </c>
      <c r="AA18">
        <v>1.6E-2</v>
      </c>
      <c r="AB18">
        <v>0.92299335407616101</v>
      </c>
      <c r="AC18">
        <v>6.3890058266076896E-2</v>
      </c>
      <c r="AD18">
        <v>1.3116587657761801E-2</v>
      </c>
      <c r="AE18">
        <v>-2.9888691394984498E-2</v>
      </c>
      <c r="AF18">
        <v>2.8928873110214401E-2</v>
      </c>
      <c r="AG18">
        <v>9.5981828477000302E-4</v>
      </c>
      <c r="AH18">
        <f t="shared" si="0"/>
        <v>3.3178557668432092E-2</v>
      </c>
      <c r="AL18">
        <v>1.6E-2</v>
      </c>
      <c r="AM18">
        <v>0.90841368602622496</v>
      </c>
      <c r="AN18">
        <v>7.7656447750466998E-2</v>
      </c>
      <c r="AO18">
        <v>1.3929866223308E-2</v>
      </c>
      <c r="AP18">
        <v>-4.4468359444920599E-2</v>
      </c>
      <c r="AQ18">
        <v>4.2695262594604502E-2</v>
      </c>
      <c r="AR18">
        <v>1.77309685031623E-3</v>
      </c>
      <c r="AS18">
        <f t="shared" si="1"/>
        <v>4.152912390191741E-2</v>
      </c>
    </row>
    <row r="19" spans="1:45" x14ac:dyDescent="0.35">
      <c r="AA19">
        <v>1.7000000000000001E-2</v>
      </c>
      <c r="AB19">
        <v>0.92114109091901697</v>
      </c>
      <c r="AC19">
        <v>6.5667064514030093E-2</v>
      </c>
      <c r="AD19">
        <v>1.31918445669522E-2</v>
      </c>
      <c r="AE19">
        <v>-3.1740954552127998E-2</v>
      </c>
      <c r="AF19">
        <v>3.0705879358167602E-2</v>
      </c>
      <c r="AG19">
        <v>1.0350751939603999E-3</v>
      </c>
      <c r="AH19">
        <f t="shared" si="0"/>
        <v>3.3709348684882248E-2</v>
      </c>
      <c r="AL19">
        <v>1.7000000000000001E-2</v>
      </c>
      <c r="AM19">
        <v>0.905682232915626</v>
      </c>
      <c r="AN19">
        <v>8.0232817644270704E-2</v>
      </c>
      <c r="AO19">
        <v>1.40849494401032E-2</v>
      </c>
      <c r="AP19">
        <v>-4.7199812555519603E-2</v>
      </c>
      <c r="AQ19">
        <v>4.5271632488408299E-2</v>
      </c>
      <c r="AR19">
        <v>1.9281800671113901E-3</v>
      </c>
      <c r="AS19">
        <f t="shared" si="1"/>
        <v>4.2591352710885703E-2</v>
      </c>
    </row>
    <row r="20" spans="1:45" x14ac:dyDescent="0.35"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s="3" t="s">
        <v>13</v>
      </c>
      <c r="O20" t="s">
        <v>14</v>
      </c>
      <c r="P20" t="s">
        <v>15</v>
      </c>
      <c r="Q20" s="3" t="s">
        <v>13</v>
      </c>
      <c r="AA20">
        <v>1.7999999999999999E-2</v>
      </c>
      <c r="AB20">
        <v>0.91929068356242805</v>
      </c>
      <c r="AC20">
        <v>6.7440417834380206E-2</v>
      </c>
      <c r="AD20">
        <v>1.3268898603190801E-2</v>
      </c>
      <c r="AE20">
        <v>-3.3591361908716699E-2</v>
      </c>
      <c r="AF20">
        <v>3.2479232678517697E-2</v>
      </c>
      <c r="AG20">
        <v>1.1121292301989999E-3</v>
      </c>
      <c r="AH20">
        <f t="shared" si="0"/>
        <v>3.4241240894049223E-2</v>
      </c>
      <c r="AL20">
        <v>1.7999999999999999E-2</v>
      </c>
      <c r="AM20">
        <v>0.90295639471421096</v>
      </c>
      <c r="AN20">
        <v>8.27984601929381E-2</v>
      </c>
      <c r="AO20">
        <v>1.42451450928504E-2</v>
      </c>
      <c r="AP20">
        <v>-4.9925650756934302E-2</v>
      </c>
      <c r="AQ20">
        <v>4.7837275037075598E-2</v>
      </c>
      <c r="AR20">
        <v>2.08837571985866E-3</v>
      </c>
      <c r="AS20">
        <f t="shared" si="1"/>
        <v>4.3655825258443214E-2</v>
      </c>
    </row>
    <row r="21" spans="1:45" x14ac:dyDescent="0.35">
      <c r="A21" t="s">
        <v>16</v>
      </c>
      <c r="B21">
        <v>1</v>
      </c>
      <c r="C21" s="4">
        <v>0.81505641088671243</v>
      </c>
      <c r="D21" s="4">
        <v>0.16247942082679009</v>
      </c>
      <c r="E21" s="4">
        <v>2.2464168286497509E-2</v>
      </c>
      <c r="F21">
        <f>D21/SUM(C21:E21)</f>
        <v>0.16247942082679009</v>
      </c>
      <c r="G21">
        <f>E21/SUM(C21:E21)</f>
        <v>2.2464168286497509E-2</v>
      </c>
      <c r="H21">
        <f>F21-0.035</f>
        <v>0.12747942082679009</v>
      </c>
      <c r="I21">
        <f>G21-0.012157</f>
        <v>1.030716828649751E-2</v>
      </c>
      <c r="J21">
        <f>I21/H21</f>
        <v>8.0853585776030093E-2</v>
      </c>
      <c r="K21">
        <v>3.3574678927720883E-2</v>
      </c>
      <c r="L21">
        <v>5.8641154767815902E-2</v>
      </c>
      <c r="M21">
        <v>8.5046898170450497E-2</v>
      </c>
      <c r="N21" s="3">
        <f>H21*SLOPE($L$16:$M$16,L21:M21)+INTERCEPT($L$16:$M$16,L21:M21)</f>
        <v>4.6069429293971691</v>
      </c>
      <c r="O21">
        <v>4.2354134242697065E-2</v>
      </c>
      <c r="P21">
        <v>5.9897074142205561E-2</v>
      </c>
      <c r="Q21" s="3">
        <f>J21*SLOPE($L$32:$M$32,O21:P21)+INTERCEPT($L$32:$M$32,O21:P21)</f>
        <v>4.1945837900528682</v>
      </c>
      <c r="R21">
        <f>AVERAGE(Q21:Q25)</f>
        <v>3.8699423268431175</v>
      </c>
      <c r="S21">
        <f>STDEV(Q21:Q25)/SQRT(5)</f>
        <v>0.15474930258852734</v>
      </c>
      <c r="T21">
        <f>(Q21-3.5)/1.5</f>
        <v>0.46305586003524546</v>
      </c>
      <c r="U21">
        <f>AVERAGE(T21:T25)</f>
        <v>0.24662821789541164</v>
      </c>
      <c r="V21">
        <f>STDEV(T21:T25)/SQRT(5)</f>
        <v>0.10316620172568489</v>
      </c>
      <c r="AA21">
        <v>1.9E-2</v>
      </c>
      <c r="AB21">
        <v>0.91744213189597401</v>
      </c>
      <c r="AC21">
        <v>6.9210118191769796E-2</v>
      </c>
      <c r="AD21">
        <v>1.3347749912255799E-2</v>
      </c>
      <c r="AE21">
        <v>-3.5439913575171199E-2</v>
      </c>
      <c r="AF21">
        <v>3.42489330359073E-2</v>
      </c>
      <c r="AG21">
        <v>1.1909805392639799E-3</v>
      </c>
      <c r="AH21">
        <f t="shared" si="0"/>
        <v>3.4774237726335325E-2</v>
      </c>
      <c r="AL21">
        <v>1.9E-2</v>
      </c>
      <c r="AM21">
        <v>0.90023616935739104</v>
      </c>
      <c r="AN21">
        <v>8.5353393289223894E-2</v>
      </c>
      <c r="AO21">
        <v>1.44104373533842E-2</v>
      </c>
      <c r="AP21">
        <v>-5.2645876113753702E-2</v>
      </c>
      <c r="AQ21">
        <v>5.0392208133361399E-2</v>
      </c>
      <c r="AR21">
        <v>2.2536679803924001E-3</v>
      </c>
      <c r="AS21">
        <f t="shared" si="1"/>
        <v>4.4722548661256092E-2</v>
      </c>
    </row>
    <row r="22" spans="1:45" x14ac:dyDescent="0.35">
      <c r="B22">
        <v>2</v>
      </c>
      <c r="C22" s="4">
        <v>0.7896851403301286</v>
      </c>
      <c r="D22" s="4">
        <v>0.18512595291196779</v>
      </c>
      <c r="E22" s="4">
        <v>2.5188906757903529E-2</v>
      </c>
      <c r="F22">
        <f t="shared" ref="F22:F25" si="10">D22/SUM(C22:E22)</f>
        <v>0.18512595291196782</v>
      </c>
      <c r="G22">
        <f t="shared" ref="G22:G25" si="11">E22/SUM(C22:E22)</f>
        <v>2.5188906757903532E-2</v>
      </c>
      <c r="H22">
        <f t="shared" ref="H22:H25" si="12">F22-0.035</f>
        <v>0.15012595291196781</v>
      </c>
      <c r="I22">
        <f t="shared" ref="I22:I25" si="13">G22-0.012157</f>
        <v>1.3031906757903533E-2</v>
      </c>
      <c r="J22">
        <f t="shared" ref="J22:J25" si="14">I22/H22</f>
        <v>8.6806488186258496E-2</v>
      </c>
      <c r="K22">
        <v>4.5534384183177054E-2</v>
      </c>
      <c r="L22">
        <v>7.8978812933089101E-2</v>
      </c>
      <c r="M22">
        <v>0.113121028691044</v>
      </c>
      <c r="N22" s="3">
        <f t="shared" ref="N22:N25" si="15">H22*SLOPE($L$16:$M$16,L22:M22)+INTERCEPT($L$16:$M$16,L22:M22)</f>
        <v>4.0838465928299321</v>
      </c>
      <c r="O22">
        <v>4.9031463882804993E-2</v>
      </c>
      <c r="P22">
        <v>7.3271456562069071E-2</v>
      </c>
      <c r="Q22" s="3">
        <f t="shared" ref="Q22:Q25" si="16">J22*SLOPE($L$32:$M$32,O22:P22)+INTERCEPT($L$32:$M$32,O22:P22)</f>
        <v>3.5583760607224884</v>
      </c>
      <c r="T22">
        <f t="shared" ref="T22:T25" si="17">(Q22-3.5)/1.5</f>
        <v>3.8917373814992239E-2</v>
      </c>
      <c r="AA22">
        <v>0.02</v>
      </c>
      <c r="AB22">
        <v>0.91559543580972402</v>
      </c>
      <c r="AC22">
        <v>7.0976165549849896E-2</v>
      </c>
      <c r="AD22">
        <v>1.3428398640426E-2</v>
      </c>
      <c r="AE22">
        <v>-3.7286609661421603E-2</v>
      </c>
      <c r="AF22">
        <v>3.6014980393987497E-2</v>
      </c>
      <c r="AG22">
        <v>1.27162926743421E-3</v>
      </c>
      <c r="AH22">
        <f t="shared" si="0"/>
        <v>3.5308342626406135E-2</v>
      </c>
      <c r="AL22">
        <v>0.02</v>
      </c>
      <c r="AM22">
        <v>0.89752155472943895</v>
      </c>
      <c r="AN22">
        <v>8.7897634868938604E-2</v>
      </c>
      <c r="AO22">
        <v>1.4580810401621701E-2</v>
      </c>
      <c r="AP22">
        <v>-5.5360490741706E-2</v>
      </c>
      <c r="AQ22">
        <v>5.2936449713076199E-2</v>
      </c>
      <c r="AR22">
        <v>2.42404102862996E-3</v>
      </c>
      <c r="AS22">
        <f t="shared" si="1"/>
        <v>4.5791530066119655E-2</v>
      </c>
    </row>
    <row r="23" spans="1:45" x14ac:dyDescent="0.35">
      <c r="B23">
        <v>3</v>
      </c>
      <c r="C23" s="4">
        <v>0.80161359740273319</v>
      </c>
      <c r="D23" s="4">
        <v>0.17401448485441501</v>
      </c>
      <c r="E23" s="4">
        <v>2.4371917742851749E-2</v>
      </c>
      <c r="F23">
        <f t="shared" si="10"/>
        <v>0.17401448485441504</v>
      </c>
      <c r="G23">
        <f t="shared" si="11"/>
        <v>2.4371917742851752E-2</v>
      </c>
      <c r="H23">
        <f t="shared" si="12"/>
        <v>0.13901448485441503</v>
      </c>
      <c r="I23">
        <f t="shared" si="13"/>
        <v>1.2214917742851753E-2</v>
      </c>
      <c r="J23">
        <f t="shared" si="14"/>
        <v>8.7867949556796221E-2</v>
      </c>
      <c r="K23">
        <v>4.3843577736610684E-2</v>
      </c>
      <c r="L23">
        <v>7.5625743384340902E-2</v>
      </c>
      <c r="M23">
        <v>0.108545001698683</v>
      </c>
      <c r="N23" s="3">
        <f t="shared" si="15"/>
        <v>3.9255823100503218</v>
      </c>
      <c r="O23">
        <v>4.8468494485598819E-2</v>
      </c>
      <c r="P23">
        <v>7.2143610900619506E-2</v>
      </c>
      <c r="Q23" s="3">
        <f t="shared" si="16"/>
        <v>3.6641715453699057</v>
      </c>
      <c r="T23">
        <f t="shared" si="17"/>
        <v>0.1094476969132705</v>
      </c>
      <c r="AA23">
        <v>2.1000000000000001E-2</v>
      </c>
      <c r="AB23">
        <v>0.91375059519423796</v>
      </c>
      <c r="AC23">
        <v>7.2738559871280195E-2</v>
      </c>
      <c r="AD23">
        <v>1.35108449344812E-2</v>
      </c>
      <c r="AE23">
        <v>-3.9131450276907002E-2</v>
      </c>
      <c r="AF23">
        <v>3.77773747154177E-2</v>
      </c>
      <c r="AG23">
        <v>1.35407556148941E-3</v>
      </c>
      <c r="AH23">
        <f t="shared" si="0"/>
        <v>3.5843559053265417E-2</v>
      </c>
      <c r="AL23">
        <v>2.1000000000000001E-2</v>
      </c>
      <c r="AM23">
        <v>0.89481254866377402</v>
      </c>
      <c r="AN23">
        <v>9.0431202910423197E-2</v>
      </c>
      <c r="AO23">
        <v>1.47562484258018E-2</v>
      </c>
      <c r="AP23">
        <v>-5.8069496807370703E-2</v>
      </c>
      <c r="AQ23">
        <v>5.5470017754560702E-2</v>
      </c>
      <c r="AR23">
        <v>2.5994790528100198E-3</v>
      </c>
      <c r="AS23">
        <f t="shared" si="1"/>
        <v>4.6862776650117309E-2</v>
      </c>
    </row>
    <row r="24" spans="1:45" x14ac:dyDescent="0.35">
      <c r="B24">
        <v>4</v>
      </c>
      <c r="C24" s="4">
        <v>0.81062346659396267</v>
      </c>
      <c r="D24" s="4">
        <v>0.16580690767915501</v>
      </c>
      <c r="E24" s="4">
        <v>2.3569625726882312E-2</v>
      </c>
      <c r="F24">
        <f t="shared" si="10"/>
        <v>0.16580690767915501</v>
      </c>
      <c r="G24">
        <f t="shared" si="11"/>
        <v>2.3569625726882312E-2</v>
      </c>
      <c r="H24">
        <f t="shared" si="12"/>
        <v>0.13080690767915501</v>
      </c>
      <c r="I24">
        <f t="shared" si="13"/>
        <v>1.1412625726882312E-2</v>
      </c>
      <c r="J24">
        <f t="shared" si="14"/>
        <v>8.7247882618518569E-2</v>
      </c>
      <c r="K24">
        <v>4.3799842630698568E-2</v>
      </c>
      <c r="L24">
        <v>7.7304105274052001E-2</v>
      </c>
      <c r="M24">
        <v>0.110838130509779</v>
      </c>
      <c r="N24" s="3">
        <f t="shared" si="15"/>
        <v>3.5954780861827875</v>
      </c>
      <c r="O24">
        <v>4.8468494485598819E-2</v>
      </c>
      <c r="P24">
        <v>7.2143610900619506E-2</v>
      </c>
      <c r="Q24" s="3">
        <f t="shared" si="16"/>
        <v>3.6379808847873774</v>
      </c>
      <c r="T24">
        <f t="shared" si="17"/>
        <v>9.1987256524918237E-2</v>
      </c>
      <c r="AA24">
        <v>2.1999999999999999E-2</v>
      </c>
      <c r="AB24">
        <v>0.91190760994056896</v>
      </c>
      <c r="AC24">
        <v>7.4497301117728204E-2</v>
      </c>
      <c r="AD24">
        <v>1.3595088941701999E-2</v>
      </c>
      <c r="AE24">
        <v>-4.0974435530575802E-2</v>
      </c>
      <c r="AF24">
        <v>3.9536115961865799E-2</v>
      </c>
      <c r="AG24">
        <v>1.43831956871021E-3</v>
      </c>
      <c r="AH24">
        <f t="shared" si="0"/>
        <v>3.6379890480327609E-2</v>
      </c>
      <c r="AL24">
        <v>2.1999999999999999E-2</v>
      </c>
      <c r="AM24">
        <v>0.89210914894325299</v>
      </c>
      <c r="AN24">
        <v>9.29541154340255E-2</v>
      </c>
      <c r="AO24">
        <v>1.4936735622721201E-2</v>
      </c>
      <c r="AP24">
        <v>-6.07728965278925E-2</v>
      </c>
      <c r="AQ24">
        <v>5.7992930278163102E-2</v>
      </c>
      <c r="AR24">
        <v>2.77996624972939E-3</v>
      </c>
      <c r="AS24">
        <f t="shared" si="1"/>
        <v>4.7936295620781381E-2</v>
      </c>
    </row>
    <row r="25" spans="1:45" x14ac:dyDescent="0.35">
      <c r="B25">
        <v>5</v>
      </c>
      <c r="C25" s="4">
        <v>0.797649463390673</v>
      </c>
      <c r="D25" s="4">
        <v>0.1771546246579615</v>
      </c>
      <c r="E25" s="4">
        <v>2.519591195136555E-2</v>
      </c>
      <c r="F25">
        <f t="shared" si="10"/>
        <v>0.1771546246579615</v>
      </c>
      <c r="G25">
        <f t="shared" si="11"/>
        <v>2.519591195136555E-2</v>
      </c>
      <c r="H25">
        <f t="shared" si="12"/>
        <v>0.1421546246579615</v>
      </c>
      <c r="I25">
        <f t="shared" si="13"/>
        <v>1.3038911951365551E-2</v>
      </c>
      <c r="J25">
        <f t="shared" si="14"/>
        <v>9.1723445387292185E-2</v>
      </c>
      <c r="K25">
        <v>3.8264149957200982E-2</v>
      </c>
      <c r="L25">
        <v>6.7179122582233297E-2</v>
      </c>
      <c r="M25">
        <v>9.6925239640982194E-2</v>
      </c>
      <c r="N25" s="3">
        <f t="shared" si="15"/>
        <v>4.5205139187629362</v>
      </c>
      <c r="O25">
        <v>4.5115724692472506E-2</v>
      </c>
      <c r="P25">
        <v>6.5427645650759494E-2</v>
      </c>
      <c r="Q25" s="3">
        <f t="shared" si="16"/>
        <v>4.2945993532829476</v>
      </c>
      <c r="T25">
        <f t="shared" si="17"/>
        <v>0.52973290218863178</v>
      </c>
      <c r="AA25">
        <v>2.3E-2</v>
      </c>
      <c r="AB25">
        <v>0.91006647994025902</v>
      </c>
      <c r="AC25">
        <v>7.6252389249870003E-2</v>
      </c>
      <c r="AD25">
        <v>1.36811308098702E-2</v>
      </c>
      <c r="AE25">
        <v>-4.2815565530885898E-2</v>
      </c>
      <c r="AF25">
        <v>4.1291204094007598E-2</v>
      </c>
      <c r="AG25">
        <v>1.52436143687837E-3</v>
      </c>
      <c r="AH25">
        <f t="shared" si="0"/>
        <v>3.6917340395495844E-2</v>
      </c>
      <c r="AL25">
        <v>2.3E-2</v>
      </c>
      <c r="AM25">
        <v>0.88941135330044996</v>
      </c>
      <c r="AN25">
        <v>9.5466390501579401E-2</v>
      </c>
      <c r="AO25">
        <v>1.51222561979699E-2</v>
      </c>
      <c r="AP25">
        <v>-6.3470692170694995E-2</v>
      </c>
      <c r="AQ25">
        <v>6.0505205345716899E-2</v>
      </c>
      <c r="AR25">
        <v>2.9654868249781E-3</v>
      </c>
      <c r="AS25">
        <f t="shared" si="1"/>
        <v>4.9012094216254465E-2</v>
      </c>
    </row>
    <row r="26" spans="1:45" x14ac:dyDescent="0.35">
      <c r="AA26">
        <v>2.4E-2</v>
      </c>
      <c r="AB26">
        <v>0.90822720508534105</v>
      </c>
      <c r="AC26">
        <v>7.8003824227389607E-2</v>
      </c>
      <c r="AD26">
        <v>1.37689706872686E-2</v>
      </c>
      <c r="AE26">
        <v>-4.4654840385803897E-2</v>
      </c>
      <c r="AF26">
        <v>4.3042639071527097E-2</v>
      </c>
      <c r="AG26">
        <v>1.61220131427684E-3</v>
      </c>
      <c r="AH26">
        <f t="shared" si="0"/>
        <v>3.7455912301235232E-2</v>
      </c>
      <c r="AL26">
        <v>2.4E-2</v>
      </c>
      <c r="AM26">
        <v>0.88671915941794999</v>
      </c>
      <c r="AN26">
        <v>9.7968046215884702E-2</v>
      </c>
      <c r="AO26">
        <v>1.5312794366164799E-2</v>
      </c>
      <c r="AP26">
        <v>-6.6162886053195202E-2</v>
      </c>
      <c r="AQ26">
        <v>6.3006861060022304E-2</v>
      </c>
      <c r="AR26">
        <v>3.15602499317298E-3</v>
      </c>
      <c r="AS26">
        <f t="shared" si="1"/>
        <v>5.0090179705452265E-2</v>
      </c>
    </row>
    <row r="27" spans="1:45" x14ac:dyDescent="0.35">
      <c r="AA27">
        <v>2.5000000000000001E-2</v>
      </c>
      <c r="AB27">
        <v>0.90638978526833902</v>
      </c>
      <c r="AC27">
        <v>7.9751606008978501E-2</v>
      </c>
      <c r="AD27">
        <v>1.3858608722681701E-2</v>
      </c>
      <c r="AE27">
        <v>-4.6492260202805898E-2</v>
      </c>
      <c r="AF27">
        <v>4.4790420853116103E-2</v>
      </c>
      <c r="AG27">
        <v>1.7018393496899E-3</v>
      </c>
      <c r="AH27">
        <f t="shared" si="0"/>
        <v>3.7995609714649548E-2</v>
      </c>
      <c r="AL27">
        <v>2.5000000000000001E-2</v>
      </c>
      <c r="AM27">
        <v>0.88403256492862803</v>
      </c>
      <c r="AN27">
        <v>0.10045910072019</v>
      </c>
      <c r="AO27">
        <v>1.55083343511814E-2</v>
      </c>
      <c r="AP27">
        <v>-6.8849480542517605E-2</v>
      </c>
      <c r="AQ27">
        <v>6.5497915564328102E-2</v>
      </c>
      <c r="AR27">
        <v>3.3515649781896001E-3</v>
      </c>
      <c r="AS27">
        <f t="shared" si="1"/>
        <v>5.1170559388228093E-2</v>
      </c>
    </row>
    <row r="28" spans="1:45" x14ac:dyDescent="0.35">
      <c r="AA28">
        <v>2.5999999999999999E-2</v>
      </c>
      <c r="AB28">
        <v>0.90455422038226796</v>
      </c>
      <c r="AC28">
        <v>8.1495734552336399E-2</v>
      </c>
      <c r="AD28">
        <v>1.39500450653951E-2</v>
      </c>
      <c r="AE28">
        <v>-4.8327825088877299E-2</v>
      </c>
      <c r="AF28">
        <v>4.6534549396474001E-2</v>
      </c>
      <c r="AG28">
        <v>1.7932756924033399E-3</v>
      </c>
      <c r="AH28">
        <f t="shared" si="0"/>
        <v>3.8536436167558967E-2</v>
      </c>
      <c r="AL28">
        <v>2.5999999999999999E-2</v>
      </c>
      <c r="AM28">
        <v>0.88135156741593601</v>
      </c>
      <c r="AN28">
        <v>0.10293957219767901</v>
      </c>
      <c r="AO28">
        <v>1.5708860386384301E-2</v>
      </c>
      <c r="AP28">
        <v>-7.1530478055209401E-2</v>
      </c>
      <c r="AQ28">
        <v>6.7978387041816898E-2</v>
      </c>
      <c r="AR28">
        <v>3.55209101339253E-3</v>
      </c>
      <c r="AS28">
        <f t="shared" si="1"/>
        <v>5.2253240595536071E-2</v>
      </c>
    </row>
    <row r="29" spans="1:45" x14ac:dyDescent="0.35">
      <c r="AA29">
        <v>2.7E-2</v>
      </c>
      <c r="AB29">
        <v>0.90272051032063305</v>
      </c>
      <c r="AC29">
        <v>8.3236209814170195E-2</v>
      </c>
      <c r="AD29">
        <v>1.4043279865196301E-2</v>
      </c>
      <c r="AE29">
        <v>-5.0161535150512297E-2</v>
      </c>
      <c r="AF29">
        <v>4.8275024658307797E-2</v>
      </c>
      <c r="AG29">
        <v>1.8865104922045201E-3</v>
      </c>
      <c r="AH29">
        <f t="shared" si="0"/>
        <v>3.9078395206575307E-2</v>
      </c>
      <c r="AL29">
        <v>2.7E-2</v>
      </c>
      <c r="AM29">
        <v>0.87867616441419005</v>
      </c>
      <c r="AN29">
        <v>0.10540947887095301</v>
      </c>
      <c r="AO29">
        <v>1.5914356714855901E-2</v>
      </c>
      <c r="AP29">
        <v>-7.4205881056955303E-2</v>
      </c>
      <c r="AQ29">
        <v>7.0448293715091398E-2</v>
      </c>
      <c r="AR29">
        <v>3.7575873418640902E-3</v>
      </c>
      <c r="AS29">
        <f t="shared" si="1"/>
        <v>5.3338230689597831E-2</v>
      </c>
    </row>
    <row r="30" spans="1:45" x14ac:dyDescent="0.35">
      <c r="AA30">
        <v>2.8000000000000001E-2</v>
      </c>
      <c r="AB30">
        <v>0.90088865497743098</v>
      </c>
      <c r="AC30">
        <v>8.4973031750194494E-2</v>
      </c>
      <c r="AD30">
        <v>1.41383132723744E-2</v>
      </c>
      <c r="AE30">
        <v>-5.19933904937145E-2</v>
      </c>
      <c r="AF30">
        <v>5.0011846594331999E-2</v>
      </c>
      <c r="AG30">
        <v>1.9815438993825599E-3</v>
      </c>
      <c r="AH30">
        <f t="shared" si="0"/>
        <v>3.9621490393180851E-2</v>
      </c>
      <c r="AL30">
        <v>2.8000000000000001E-2</v>
      </c>
      <c r="AM30">
        <v>0.87600635340885102</v>
      </c>
      <c r="AN30">
        <v>0.107868839001525</v>
      </c>
      <c r="AO30">
        <v>1.61248075896233E-2</v>
      </c>
      <c r="AP30">
        <v>-7.6875692062294207E-2</v>
      </c>
      <c r="AQ30">
        <v>7.2907653845662806E-2</v>
      </c>
      <c r="AR30">
        <v>3.9680382166315002E-3</v>
      </c>
      <c r="AS30">
        <f t="shared" si="1"/>
        <v>5.4425537064069912E-2</v>
      </c>
    </row>
    <row r="31" spans="1:45" x14ac:dyDescent="0.35">
      <c r="AA31">
        <v>2.9000000000000001E-2</v>
      </c>
      <c r="AB31">
        <v>0.89905865424714804</v>
      </c>
      <c r="AC31">
        <v>8.6706200315130905E-2</v>
      </c>
      <c r="AD31">
        <v>1.42351454377202E-2</v>
      </c>
      <c r="AE31">
        <v>-5.3823391223996798E-2</v>
      </c>
      <c r="AF31">
        <v>5.1745015159268402E-2</v>
      </c>
      <c r="AG31">
        <v>2.0783760647284499E-3</v>
      </c>
      <c r="AH31">
        <f t="shared" si="0"/>
        <v>4.0165725303805959E-2</v>
      </c>
      <c r="AL31">
        <v>2.9000000000000001E-2</v>
      </c>
      <c r="AM31">
        <v>0.87334213183681098</v>
      </c>
      <c r="AN31">
        <v>0.110317670889304</v>
      </c>
      <c r="AO31">
        <v>1.63401972738841E-2</v>
      </c>
      <c r="AP31">
        <v>-7.95399136343337E-2</v>
      </c>
      <c r="AQ31">
        <v>7.5356485733441503E-2</v>
      </c>
      <c r="AR31">
        <v>4.1834279008923303E-3</v>
      </c>
      <c r="AS31">
        <f t="shared" si="1"/>
        <v>5.5515167144210648E-2</v>
      </c>
    </row>
    <row r="32" spans="1:45" x14ac:dyDescent="0.35">
      <c r="L32">
        <v>2</v>
      </c>
      <c r="M32">
        <v>3</v>
      </c>
      <c r="AA32">
        <v>0.03</v>
      </c>
      <c r="AB32">
        <v>0.89723050802476401</v>
      </c>
      <c r="AC32">
        <v>8.84357154627083E-2</v>
      </c>
      <c r="AD32">
        <v>1.4333776512526901E-2</v>
      </c>
      <c r="AE32">
        <v>-5.5651537446380898E-2</v>
      </c>
      <c r="AF32">
        <v>5.3474530306845798E-2</v>
      </c>
      <c r="AG32">
        <v>2.1770071395351598E-3</v>
      </c>
      <c r="AH32">
        <f t="shared" si="0"/>
        <v>4.0711103529907207E-2</v>
      </c>
      <c r="AL32">
        <v>0.03</v>
      </c>
      <c r="AM32">
        <v>0.87068349708667703</v>
      </c>
      <c r="AN32">
        <v>0.112755992872092</v>
      </c>
      <c r="AO32">
        <v>1.6560510041230301E-2</v>
      </c>
      <c r="AP32">
        <v>-8.2198548384468204E-2</v>
      </c>
      <c r="AQ32">
        <v>7.7794807716229805E-2</v>
      </c>
      <c r="AR32">
        <v>4.4037406682384704E-3</v>
      </c>
      <c r="AS32">
        <f t="shared" si="1"/>
        <v>5.6607128387049767E-2</v>
      </c>
    </row>
    <row r="33" spans="27:45" x14ac:dyDescent="0.35">
      <c r="AA33">
        <v>3.1E-2</v>
      </c>
      <c r="AB33">
        <v>0.89540421620574795</v>
      </c>
      <c r="AC33">
        <v>9.0161577145662405E-2</v>
      </c>
      <c r="AD33">
        <v>1.44342066485896E-2</v>
      </c>
      <c r="AE33">
        <v>-5.7477829265397601E-2</v>
      </c>
      <c r="AF33">
        <v>5.5200391989799903E-2</v>
      </c>
      <c r="AG33">
        <v>2.27743727559781E-3</v>
      </c>
      <c r="AH33">
        <f t="shared" si="0"/>
        <v>4.1257628678047102E-2</v>
      </c>
      <c r="AL33">
        <v>3.1E-2</v>
      </c>
      <c r="AM33">
        <v>0.86803044649905103</v>
      </c>
      <c r="AN33">
        <v>0.115183823325078</v>
      </c>
      <c r="AO33">
        <v>1.6785730175870199E-2</v>
      </c>
      <c r="AP33">
        <v>-8.48515989720946E-2</v>
      </c>
      <c r="AQ33">
        <v>8.0222638169216196E-2</v>
      </c>
      <c r="AR33">
        <v>4.6289608028784596E-3</v>
      </c>
      <c r="AS33">
        <f t="shared" si="1"/>
        <v>5.7701428281558671E-2</v>
      </c>
    </row>
    <row r="34" spans="27:45" x14ac:dyDescent="0.35">
      <c r="AA34">
        <v>3.2000000000000001E-2</v>
      </c>
      <c r="AB34">
        <v>0.89357977868605798</v>
      </c>
      <c r="AC34">
        <v>9.1883785315736002E-2</v>
      </c>
      <c r="AD34">
        <v>1.45364359982056E-2</v>
      </c>
      <c r="AE34">
        <v>-5.93022667850873E-2</v>
      </c>
      <c r="AF34">
        <v>5.69226001598735E-2</v>
      </c>
      <c r="AG34">
        <v>2.37966662521377E-3</v>
      </c>
      <c r="AH34">
        <f t="shared" si="0"/>
        <v>4.1805304369972728E-2</v>
      </c>
      <c r="AL34">
        <v>3.2000000000000001E-2</v>
      </c>
      <c r="AM34">
        <v>0.86538297736681502</v>
      </c>
      <c r="AN34">
        <v>0.117601180660334</v>
      </c>
      <c r="AO34">
        <v>1.7015841972849999E-2</v>
      </c>
      <c r="AP34">
        <v>-8.7499068104330197E-2</v>
      </c>
      <c r="AQ34">
        <v>8.2639995504472097E-2</v>
      </c>
      <c r="AR34">
        <v>4.8590725998581804E-3</v>
      </c>
      <c r="AS34">
        <f t="shared" si="1"/>
        <v>5.8798074348820964E-2</v>
      </c>
    </row>
    <row r="35" spans="27:45" x14ac:dyDescent="0.35">
      <c r="AA35">
        <v>3.3000000000000002E-2</v>
      </c>
      <c r="AB35">
        <v>0.89175719536214604</v>
      </c>
      <c r="AC35">
        <v>9.3602339923678293E-2</v>
      </c>
      <c r="AD35">
        <v>1.46404647141746E-2</v>
      </c>
      <c r="AE35">
        <v>-6.11248501089987E-2</v>
      </c>
      <c r="AF35">
        <v>5.8641154767815902E-2</v>
      </c>
      <c r="AG35">
        <v>2.4836953411828499E-3</v>
      </c>
      <c r="AH35">
        <f t="shared" si="0"/>
        <v>4.2354134242697065E-2</v>
      </c>
      <c r="AL35">
        <v>3.3000000000000002E-2</v>
      </c>
      <c r="AM35">
        <v>0.86274108693541496</v>
      </c>
      <c r="AN35">
        <v>0.12000808332631201</v>
      </c>
      <c r="AO35">
        <v>1.7250829738271901E-2</v>
      </c>
      <c r="AP35">
        <v>-9.0140958535730398E-2</v>
      </c>
      <c r="AQ35">
        <v>8.5046898170450497E-2</v>
      </c>
      <c r="AR35">
        <v>5.0940603652800797E-3</v>
      </c>
      <c r="AS35">
        <f t="shared" si="1"/>
        <v>5.9897074142205561E-2</v>
      </c>
    </row>
    <row r="36" spans="27:45" x14ac:dyDescent="0.35">
      <c r="AA36">
        <v>3.4000000000000002E-2</v>
      </c>
      <c r="AB36">
        <v>0.88993646613095501</v>
      </c>
      <c r="AC36">
        <v>9.5317240919245302E-2</v>
      </c>
      <c r="AD36">
        <v>1.47462929497991E-2</v>
      </c>
      <c r="AE36">
        <v>-6.29455793401901E-2</v>
      </c>
      <c r="AF36">
        <v>6.03560557633828E-2</v>
      </c>
      <c r="AG36">
        <v>2.58952357680733E-3</v>
      </c>
      <c r="AH36">
        <f t="shared" si="0"/>
        <v>4.2904121948577671E-2</v>
      </c>
      <c r="AL36">
        <v>3.4000000000000002E-2</v>
      </c>
      <c r="AM36">
        <v>0.86010477240313798</v>
      </c>
      <c r="AN36">
        <v>0.122404549807348</v>
      </c>
      <c r="AO36">
        <v>1.74906777895125E-2</v>
      </c>
      <c r="AP36">
        <v>-9.2777273068006899E-2</v>
      </c>
      <c r="AQ36">
        <v>8.7443364651486305E-2</v>
      </c>
      <c r="AR36">
        <v>5.33390841652068E-3</v>
      </c>
      <c r="AS36">
        <f t="shared" si="1"/>
        <v>6.0998435247539597E-2</v>
      </c>
    </row>
    <row r="37" spans="27:45" x14ac:dyDescent="0.35">
      <c r="AA37">
        <v>3.5000000000000003E-2</v>
      </c>
      <c r="AB37">
        <v>0.88811759088991604</v>
      </c>
      <c r="AC37">
        <v>9.7028488251199002E-2</v>
      </c>
      <c r="AD37">
        <v>1.4853920858884E-2</v>
      </c>
      <c r="AE37">
        <v>-6.4764454581228703E-2</v>
      </c>
      <c r="AF37">
        <v>6.2067303095336597E-2</v>
      </c>
      <c r="AG37">
        <v>2.6971514858922202E-3</v>
      </c>
      <c r="AH37">
        <f t="shared" si="0"/>
        <v>4.3455271155399523E-2</v>
      </c>
      <c r="AL37">
        <v>3.5000000000000003E-2</v>
      </c>
      <c r="AM37">
        <v>0.85747403092139896</v>
      </c>
      <c r="AN37">
        <v>0.124790598623161</v>
      </c>
      <c r="AO37">
        <v>1.7735370455438399E-2</v>
      </c>
      <c r="AP37">
        <v>-9.5408014549745998E-2</v>
      </c>
      <c r="AQ37">
        <v>8.9829413467299404E-2</v>
      </c>
      <c r="AR37">
        <v>5.5786010824465902E-3</v>
      </c>
      <c r="AS37">
        <f t="shared" si="1"/>
        <v>6.210216528328294E-2</v>
      </c>
    </row>
    <row r="38" spans="27:45" x14ac:dyDescent="0.35">
      <c r="AA38">
        <v>3.5999999999999997E-2</v>
      </c>
      <c r="AB38">
        <v>0.88630056953695402</v>
      </c>
      <c r="AC38">
        <v>9.8736081867308007E-2</v>
      </c>
      <c r="AD38">
        <v>1.49633485957371E-2</v>
      </c>
      <c r="AE38">
        <v>-6.6581475934190795E-2</v>
      </c>
      <c r="AF38">
        <v>6.3774896711445594E-2</v>
      </c>
      <c r="AG38">
        <v>2.8065792227452801E-3</v>
      </c>
      <c r="AH38">
        <f t="shared" si="0"/>
        <v>4.4007585546455098E-2</v>
      </c>
      <c r="AL38">
        <v>3.5999999999999997E-2</v>
      </c>
      <c r="AM38">
        <v>0.854848859595017</v>
      </c>
      <c r="AN38">
        <v>0.12716624832836099</v>
      </c>
      <c r="AO38">
        <v>1.7984892076620702E-2</v>
      </c>
      <c r="AP38">
        <v>-9.8033185876127693E-2</v>
      </c>
      <c r="AQ38">
        <v>9.2205063172498797E-2</v>
      </c>
      <c r="AR38">
        <v>5.8281227036289197E-3</v>
      </c>
      <c r="AS38">
        <f t="shared" si="1"/>
        <v>6.3208271900704285E-2</v>
      </c>
    </row>
    <row r="39" spans="27:45" x14ac:dyDescent="0.35">
      <c r="AA39">
        <v>3.6999999999999998E-2</v>
      </c>
      <c r="AB39">
        <v>0.88448540197048398</v>
      </c>
      <c r="AC39">
        <v>0.100440021714346</v>
      </c>
      <c r="AD39">
        <v>1.5074576315169E-2</v>
      </c>
      <c r="AE39">
        <v>-6.8396643500661505E-2</v>
      </c>
      <c r="AF39">
        <v>6.5478836558484299E-2</v>
      </c>
      <c r="AG39">
        <v>2.9178069421772501E-3</v>
      </c>
      <c r="AH39">
        <f t="shared" si="0"/>
        <v>4.4561068820627672E-2</v>
      </c>
      <c r="AL39">
        <v>3.6999999999999998E-2</v>
      </c>
      <c r="AM39">
        <v>0.85222925548249895</v>
      </c>
      <c r="AN39">
        <v>0.12953151751195199</v>
      </c>
      <c r="AO39">
        <v>1.8239227005547899E-2</v>
      </c>
      <c r="AP39">
        <v>-0.10065278998864501</v>
      </c>
      <c r="AQ39">
        <v>9.4570332356089706E-2</v>
      </c>
      <c r="AR39">
        <v>6.0824576325560903E-3</v>
      </c>
      <c r="AS39">
        <f t="shared" si="1"/>
        <v>6.4316762784057402E-2</v>
      </c>
    </row>
    <row r="40" spans="27:45" x14ac:dyDescent="0.35">
      <c r="AA40">
        <v>3.7999999999999999E-2</v>
      </c>
      <c r="AB40">
        <v>0.88267208808941</v>
      </c>
      <c r="AC40">
        <v>0.102140307738095</v>
      </c>
      <c r="AD40">
        <v>1.51876041724937E-2</v>
      </c>
      <c r="AE40">
        <v>-7.0209957381735105E-2</v>
      </c>
      <c r="AF40">
        <v>6.7179122582233297E-2</v>
      </c>
      <c r="AG40">
        <v>3.0308347995019001E-3</v>
      </c>
      <c r="AH40">
        <f t="shared" si="0"/>
        <v>4.5115724692472506E-2</v>
      </c>
      <c r="AL40">
        <v>3.7999999999999999E-2</v>
      </c>
      <c r="AM40">
        <v>0.84961521559631803</v>
      </c>
      <c r="AN40">
        <v>0.13188642479684401</v>
      </c>
      <c r="AO40">
        <v>1.8498359606836899E-2</v>
      </c>
      <c r="AP40">
        <v>-0.10326682987482701</v>
      </c>
      <c r="AQ40">
        <v>9.6925239640982194E-2</v>
      </c>
      <c r="AR40">
        <v>6.3415902338451301E-3</v>
      </c>
      <c r="AS40">
        <f t="shared" si="1"/>
        <v>6.5427645650759494E-2</v>
      </c>
    </row>
    <row r="41" spans="27:45" x14ac:dyDescent="0.35">
      <c r="AA41">
        <v>3.9E-2</v>
      </c>
      <c r="AB41">
        <v>0.88086062779313001</v>
      </c>
      <c r="AC41">
        <v>0.103836939883341</v>
      </c>
      <c r="AD41">
        <v>1.5302432323528001E-2</v>
      </c>
      <c r="AE41">
        <v>-7.2021417678014801E-2</v>
      </c>
      <c r="AF41">
        <v>6.8875754727478603E-2</v>
      </c>
      <c r="AG41">
        <v>3.14566295053624E-3</v>
      </c>
      <c r="AH41">
        <f t="shared" si="0"/>
        <v>4.5671556892301457E-2</v>
      </c>
      <c r="AL41">
        <v>3.9E-2</v>
      </c>
      <c r="AM41">
        <v>0.84700673690319195</v>
      </c>
      <c r="AN41">
        <v>0.13423098883936399</v>
      </c>
      <c r="AO41">
        <v>1.8762274257443201E-2</v>
      </c>
      <c r="AP41">
        <v>-0.10587530856795301</v>
      </c>
      <c r="AQ41">
        <v>9.9269803683501898E-2</v>
      </c>
      <c r="AR41">
        <v>6.6055048844513601E-3</v>
      </c>
      <c r="AS41">
        <f t="shared" si="1"/>
        <v>6.6540928251570208E-2</v>
      </c>
    </row>
    <row r="42" spans="27:45" x14ac:dyDescent="0.35">
      <c r="AA42">
        <v>0.04</v>
      </c>
      <c r="AB42">
        <v>0.87905102098153298</v>
      </c>
      <c r="AC42">
        <v>0.10552991809387401</v>
      </c>
      <c r="AD42">
        <v>1.5419060924592399E-2</v>
      </c>
      <c r="AE42">
        <v>-7.3831024489612596E-2</v>
      </c>
      <c r="AF42">
        <v>7.0568732938012094E-2</v>
      </c>
      <c r="AG42">
        <v>3.2622915516005899E-3</v>
      </c>
      <c r="AH42">
        <f t="shared" si="0"/>
        <v>4.6228569166265207E-2</v>
      </c>
      <c r="AL42">
        <v>0.04</v>
      </c>
      <c r="AM42">
        <v>0.84440381632436601</v>
      </c>
      <c r="AN42">
        <v>0.136565228328765</v>
      </c>
      <c r="AO42">
        <v>1.90309553468683E-2</v>
      </c>
      <c r="AP42">
        <v>-0.108478229146779</v>
      </c>
      <c r="AQ42">
        <v>0.101604043172902</v>
      </c>
      <c r="AR42">
        <v>6.8741859738765104E-3</v>
      </c>
      <c r="AS42">
        <f t="shared" si="1"/>
        <v>6.7656618370772373E-2</v>
      </c>
    </row>
    <row r="43" spans="27:45" x14ac:dyDescent="0.35">
      <c r="AA43">
        <v>4.1000000000000002E-2</v>
      </c>
      <c r="AB43">
        <v>0.87724326755499504</v>
      </c>
      <c r="AC43">
        <v>0.107219242312493</v>
      </c>
      <c r="AD43">
        <v>1.5537490132510601E-2</v>
      </c>
      <c r="AE43">
        <v>-7.5638777916149896E-2</v>
      </c>
      <c r="AF43">
        <v>7.2258057156631195E-2</v>
      </c>
      <c r="AG43">
        <v>3.3807207595187802E-3</v>
      </c>
      <c r="AH43">
        <f t="shared" si="0"/>
        <v>4.6786765276438491E-2</v>
      </c>
      <c r="AL43">
        <v>4.1000000000000002E-2</v>
      </c>
      <c r="AM43">
        <v>0.841806450735888</v>
      </c>
      <c r="AN43">
        <v>0.138889161986744</v>
      </c>
      <c r="AO43">
        <v>1.9304387277367101E-2</v>
      </c>
      <c r="AP43">
        <v>-0.11107559473525599</v>
      </c>
      <c r="AQ43">
        <v>0.10392797683088099</v>
      </c>
      <c r="AR43">
        <v>7.1476179043752797E-3</v>
      </c>
      <c r="AS43">
        <f t="shared" si="1"/>
        <v>6.8774723826351331E-2</v>
      </c>
    </row>
    <row r="44" spans="27:45" x14ac:dyDescent="0.35">
      <c r="AA44">
        <v>4.2000000000000003E-2</v>
      </c>
      <c r="AB44">
        <v>0.87543736741438904</v>
      </c>
      <c r="AC44">
        <v>0.108904912481</v>
      </c>
      <c r="AD44">
        <v>1.5657720104610001E-2</v>
      </c>
      <c r="AE44">
        <v>-7.7444678056756394E-2</v>
      </c>
      <c r="AF44">
        <v>7.3943727325138195E-2</v>
      </c>
      <c r="AG44">
        <v>3.50095073161823E-3</v>
      </c>
      <c r="AH44">
        <f t="shared" si="0"/>
        <v>4.7346149000904274E-2</v>
      </c>
      <c r="AL44">
        <v>4.2000000000000003E-2</v>
      </c>
      <c r="AM44">
        <v>0.83921463696888798</v>
      </c>
      <c r="AN44">
        <v>0.14120280856695899</v>
      </c>
      <c r="AO44">
        <v>1.9582554464152201E-2</v>
      </c>
      <c r="AP44">
        <v>-0.113667408502256</v>
      </c>
      <c r="AQ44">
        <v>0.106241623411096</v>
      </c>
      <c r="AR44">
        <v>7.4257850911603899E-3</v>
      </c>
      <c r="AS44">
        <f t="shared" si="1"/>
        <v>6.9895252470180455E-2</v>
      </c>
    </row>
    <row r="45" spans="27:45" x14ac:dyDescent="0.35">
      <c r="AA45">
        <v>4.2999999999999997E-2</v>
      </c>
      <c r="AB45">
        <v>0.873633320461074</v>
      </c>
      <c r="AC45">
        <v>0.11058692854020299</v>
      </c>
      <c r="AD45">
        <v>1.5779750998721899E-2</v>
      </c>
      <c r="AE45">
        <v>-7.9248725010070895E-2</v>
      </c>
      <c r="AF45">
        <v>7.5625743384340902E-2</v>
      </c>
      <c r="AG45">
        <v>3.62298162573013E-3</v>
      </c>
      <c r="AH45">
        <f t="shared" si="0"/>
        <v>4.7906724133839139E-2</v>
      </c>
      <c r="AL45">
        <v>4.2999999999999997E-2</v>
      </c>
      <c r="AM45">
        <v>0.83662837180985505</v>
      </c>
      <c r="AN45">
        <v>0.143506186854546</v>
      </c>
      <c r="AO45">
        <v>1.9865441335597801E-2</v>
      </c>
      <c r="AP45">
        <v>-0.116253673661289</v>
      </c>
      <c r="AQ45">
        <v>0.108545001698683</v>
      </c>
      <c r="AR45">
        <v>7.70867196260599E-3</v>
      </c>
      <c r="AS45">
        <f t="shared" si="1"/>
        <v>7.1018212188203603E-2</v>
      </c>
    </row>
    <row r="46" spans="27:45" x14ac:dyDescent="0.35">
      <c r="AA46">
        <v>4.3999999999999997E-2</v>
      </c>
      <c r="AB46">
        <v>0.87183112659690398</v>
      </c>
      <c r="AC46">
        <v>0.112265290429914</v>
      </c>
      <c r="AD46">
        <v>1.5903582973181299E-2</v>
      </c>
      <c r="AE46">
        <v>-8.1050918874241498E-2</v>
      </c>
      <c r="AF46">
        <v>7.7304105274052001E-2</v>
      </c>
      <c r="AG46">
        <v>3.7468136001895399E-3</v>
      </c>
      <c r="AH46">
        <f t="shared" si="0"/>
        <v>4.8468494485598819E-2</v>
      </c>
      <c r="AL46">
        <v>4.3999999999999997E-2</v>
      </c>
      <c r="AM46">
        <v>0.83404765200091602</v>
      </c>
      <c r="AN46">
        <v>0.145799315665642</v>
      </c>
      <c r="AO46">
        <v>2.0153032333441401E-2</v>
      </c>
      <c r="AP46">
        <v>-0.11883439347022901</v>
      </c>
      <c r="AQ46">
        <v>0.110838130509779</v>
      </c>
      <c r="AR46">
        <v>7.9962629604495798E-3</v>
      </c>
      <c r="AS46">
        <f t="shared" si="1"/>
        <v>7.2143610900619506E-2</v>
      </c>
    </row>
    <row r="47" spans="27:45" x14ac:dyDescent="0.35">
      <c r="AA47">
        <v>4.4999999999999998E-2</v>
      </c>
      <c r="AB47">
        <v>0.87003078572422099</v>
      </c>
      <c r="AC47">
        <v>0.113939998088951</v>
      </c>
      <c r="AD47">
        <v>1.60292161868274E-2</v>
      </c>
      <c r="AE47">
        <v>-8.2851259746924602E-2</v>
      </c>
      <c r="AF47">
        <v>7.8978812933089101E-2</v>
      </c>
      <c r="AG47">
        <v>3.87244681383557E-3</v>
      </c>
      <c r="AH47">
        <f t="shared" si="0"/>
        <v>4.9031463882804993E-2</v>
      </c>
      <c r="AL47">
        <v>4.4999999999999998E-2</v>
      </c>
      <c r="AM47">
        <v>0.83147247424010795</v>
      </c>
      <c r="AN47">
        <v>0.14808221384690701</v>
      </c>
      <c r="AO47">
        <v>2.0445311912984199E-2</v>
      </c>
      <c r="AP47">
        <v>-0.121409571231037</v>
      </c>
      <c r="AQ47">
        <v>0.113121028691044</v>
      </c>
      <c r="AR47">
        <v>8.2885425399923992E-3</v>
      </c>
      <c r="AS47">
        <f t="shared" si="1"/>
        <v>7.3271456562069071E-2</v>
      </c>
    </row>
    <row r="48" spans="27:45" x14ac:dyDescent="0.35">
      <c r="AA48">
        <v>4.5999999999999999E-2</v>
      </c>
      <c r="AB48">
        <v>0.86823229774585997</v>
      </c>
      <c r="AC48">
        <v>0.115611051455136</v>
      </c>
      <c r="AD48">
        <v>1.6156650799003299E-2</v>
      </c>
      <c r="AE48">
        <v>-8.4649747725285607E-2</v>
      </c>
      <c r="AF48">
        <v>8.0649866299274203E-2</v>
      </c>
      <c r="AG48">
        <v>3.9998814260114703E-3</v>
      </c>
      <c r="AH48">
        <f t="shared" si="0"/>
        <v>4.9595636168431774E-2</v>
      </c>
      <c r="AL48">
        <v>4.5999999999999999E-2</v>
      </c>
      <c r="AM48">
        <v>0.82890283518165997</v>
      </c>
      <c r="AN48">
        <v>0.150354900275049</v>
      </c>
      <c r="AO48">
        <v>2.0742264543289899E-2</v>
      </c>
      <c r="AP48">
        <v>-0.123979210289484</v>
      </c>
      <c r="AQ48">
        <v>0.115393715119186</v>
      </c>
      <c r="AR48">
        <v>8.5854951702981595E-3</v>
      </c>
      <c r="AS48">
        <f t="shared" si="1"/>
        <v>7.4401757161822124E-2</v>
      </c>
    </row>
    <row r="49" spans="27:45" x14ac:dyDescent="0.35">
      <c r="AA49">
        <v>4.7E-2</v>
      </c>
      <c r="AB49">
        <v>0.86643566256514604</v>
      </c>
      <c r="AC49">
        <v>0.117278450465296</v>
      </c>
      <c r="AD49">
        <v>1.6285886969556601E-2</v>
      </c>
      <c r="AE49">
        <v>-8.6446382905999E-2</v>
      </c>
      <c r="AF49">
        <v>8.2317265309434201E-2</v>
      </c>
      <c r="AG49">
        <v>4.1291175965648E-3</v>
      </c>
      <c r="AH49">
        <f t="shared" si="0"/>
        <v>5.0161015201893144E-2</v>
      </c>
      <c r="AL49">
        <v>4.7E-2</v>
      </c>
      <c r="AM49">
        <v>0.82633873143626502</v>
      </c>
      <c r="AN49">
        <v>0.15261739385635101</v>
      </c>
      <c r="AO49">
        <v>2.1043874707382199E-2</v>
      </c>
      <c r="AP49">
        <v>-0.12654331403487901</v>
      </c>
      <c r="AQ49">
        <v>0.117656208700489</v>
      </c>
      <c r="AR49">
        <v>8.8871053343903793E-3</v>
      </c>
      <c r="AS49">
        <f t="shared" si="1"/>
        <v>7.55345207239662E-2</v>
      </c>
    </row>
    <row r="50" spans="27:45" x14ac:dyDescent="0.35">
      <c r="AA50">
        <v>4.8000000000000001E-2</v>
      </c>
      <c r="AB50">
        <v>0.86464088008589801</v>
      </c>
      <c r="AC50">
        <v>0.118942195055262</v>
      </c>
      <c r="AD50">
        <v>1.6416924858839398E-2</v>
      </c>
      <c r="AE50">
        <v>-8.8241165385247594E-2</v>
      </c>
      <c r="AF50">
        <v>8.3981009899400105E-2</v>
      </c>
      <c r="AG50">
        <v>4.2601554858475599E-3</v>
      </c>
      <c r="AH50">
        <f t="shared" si="0"/>
        <v>5.0727604859131269E-2</v>
      </c>
      <c r="AL50">
        <v>4.8000000000000001E-2</v>
      </c>
      <c r="AM50">
        <v>0.82378015957135498</v>
      </c>
      <c r="AN50">
        <v>0.15486971352620399</v>
      </c>
      <c r="AO50">
        <v>2.1350126902439901E-2</v>
      </c>
      <c r="AP50">
        <v>-0.12910188589978899</v>
      </c>
      <c r="AQ50">
        <v>0.11990852837034099</v>
      </c>
      <c r="AR50">
        <v>9.1933575294480992E-3</v>
      </c>
      <c r="AS50">
        <f t="shared" si="1"/>
        <v>7.6669755307597023E-2</v>
      </c>
    </row>
    <row r="51" spans="27:45" x14ac:dyDescent="0.35">
      <c r="AA51">
        <v>4.9000000000000002E-2</v>
      </c>
      <c r="AB51">
        <v>0.862847950212422</v>
      </c>
      <c r="AC51">
        <v>0.120602285159869</v>
      </c>
      <c r="AD51">
        <v>1.6549764627708099E-2</v>
      </c>
      <c r="AE51">
        <v>-9.0034095258723398E-2</v>
      </c>
      <c r="AF51">
        <v>8.5641100004007098E-2</v>
      </c>
      <c r="AG51">
        <v>4.3929952547163498E-3</v>
      </c>
      <c r="AH51">
        <f t="shared" si="0"/>
        <v>5.1295409032705137E-2</v>
      </c>
      <c r="AL51">
        <v>4.9000000000000002E-2</v>
      </c>
      <c r="AM51">
        <v>0.821227116111377</v>
      </c>
      <c r="AN51">
        <v>0.15711187824862999</v>
      </c>
      <c r="AO51">
        <v>2.16610056399919E-2</v>
      </c>
      <c r="AP51">
        <v>-0.131654929359768</v>
      </c>
      <c r="AQ51">
        <v>0.12215069309276801</v>
      </c>
      <c r="AR51">
        <v>9.5042362670000897E-3</v>
      </c>
      <c r="AS51">
        <f t="shared" si="1"/>
        <v>7.7807469007007968E-2</v>
      </c>
    </row>
    <row r="52" spans="27:45" x14ac:dyDescent="0.35">
      <c r="AA52">
        <v>0.05</v>
      </c>
      <c r="AB52">
        <v>0.86105687284951804</v>
      </c>
      <c r="AC52">
        <v>0.122258720712956</v>
      </c>
      <c r="AD52">
        <v>1.66844064375242E-2</v>
      </c>
      <c r="AE52">
        <v>-9.1825172621626899E-2</v>
      </c>
      <c r="AF52">
        <v>8.7297535557094505E-2</v>
      </c>
      <c r="AG52">
        <v>4.5276370645324603E-3</v>
      </c>
      <c r="AH52">
        <f t="shared" si="0"/>
        <v>5.1864431631879072E-2</v>
      </c>
      <c r="AL52">
        <v>0.05</v>
      </c>
      <c r="AM52">
        <v>0.81867959753806396</v>
      </c>
      <c r="AN52">
        <v>0.15934390701582599</v>
      </c>
      <c r="AO52">
        <v>2.1976495446109301E-2</v>
      </c>
      <c r="AP52">
        <v>-0.134202447933081</v>
      </c>
      <c r="AQ52">
        <v>0.12438272185996301</v>
      </c>
      <c r="AR52">
        <v>9.8197260731174695E-3</v>
      </c>
      <c r="AS52">
        <f t="shared" si="1"/>
        <v>7.8947669951884986E-2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C81D-DAAF-4C97-881B-2E83256C2188}">
  <dimension ref="A1:BA52"/>
  <sheetViews>
    <sheetView tabSelected="1" workbookViewId="0">
      <selection activeCell="P46" sqref="P46"/>
    </sheetView>
  </sheetViews>
  <sheetFormatPr defaultRowHeight="14.5" x14ac:dyDescent="0.35"/>
  <cols>
    <col min="15" max="15" width="14.26953125" customWidth="1"/>
    <col min="16" max="16" width="16.7265625" customWidth="1"/>
    <col min="22" max="22" width="13.1796875" customWidth="1"/>
    <col min="23" max="23" width="11.81640625" bestFit="1" customWidth="1"/>
  </cols>
  <sheetData>
    <row r="1" spans="1:53" x14ac:dyDescent="0.35">
      <c r="L1">
        <v>2</v>
      </c>
      <c r="M1">
        <v>3</v>
      </c>
      <c r="Y1" t="s">
        <v>20</v>
      </c>
      <c r="Z1" t="s">
        <v>10</v>
      </c>
      <c r="AA1" t="s">
        <v>2</v>
      </c>
      <c r="AB1" t="s">
        <v>3</v>
      </c>
      <c r="AC1" t="s">
        <v>4</v>
      </c>
      <c r="AD1" t="s">
        <v>19</v>
      </c>
      <c r="AE1" t="s">
        <v>7</v>
      </c>
      <c r="AF1" t="s">
        <v>8</v>
      </c>
      <c r="AG1" t="s">
        <v>9</v>
      </c>
      <c r="AI1" t="s">
        <v>21</v>
      </c>
      <c r="AJ1" t="s">
        <v>10</v>
      </c>
      <c r="AK1" t="s">
        <v>2</v>
      </c>
      <c r="AL1" t="s">
        <v>3</v>
      </c>
      <c r="AM1" t="s">
        <v>4</v>
      </c>
      <c r="AN1" t="s">
        <v>19</v>
      </c>
      <c r="AO1" t="s">
        <v>7</v>
      </c>
      <c r="AP1" t="s">
        <v>8</v>
      </c>
      <c r="AQ1" t="s">
        <v>9</v>
      </c>
      <c r="AS1" t="s">
        <v>23</v>
      </c>
      <c r="AT1" t="s">
        <v>10</v>
      </c>
      <c r="AU1" t="s">
        <v>2</v>
      </c>
      <c r="AV1" t="s">
        <v>3</v>
      </c>
      <c r="AW1" t="s">
        <v>4</v>
      </c>
      <c r="AX1" t="s">
        <v>19</v>
      </c>
      <c r="AY1" t="s">
        <v>7</v>
      </c>
      <c r="AZ1" t="s">
        <v>8</v>
      </c>
      <c r="BA1" t="s">
        <v>9</v>
      </c>
    </row>
    <row r="2" spans="1:53" x14ac:dyDescent="0.35">
      <c r="Z2">
        <v>0</v>
      </c>
      <c r="AA2">
        <v>0.93193491933540895</v>
      </c>
      <c r="AB2">
        <v>6.0669209347524199E-2</v>
      </c>
      <c r="AC2">
        <v>7.3958713170665501E-3</v>
      </c>
      <c r="AJ2">
        <v>0</v>
      </c>
      <c r="AK2">
        <v>0.93193491933540895</v>
      </c>
      <c r="AL2">
        <v>6.0669209347524199E-2</v>
      </c>
      <c r="AM2">
        <v>7.3958713170665501E-3</v>
      </c>
      <c r="AT2">
        <v>0</v>
      </c>
      <c r="AU2">
        <v>0.93193491933540895</v>
      </c>
      <c r="AV2">
        <v>6.0669209347524199E-2</v>
      </c>
      <c r="AW2">
        <v>7.3958713170665501E-3</v>
      </c>
    </row>
    <row r="3" spans="1:53" x14ac:dyDescent="0.35">
      <c r="A3" s="2" t="s">
        <v>1</v>
      </c>
      <c r="Z3">
        <v>1E-3</v>
      </c>
      <c r="AA3">
        <v>0.93008548238755695</v>
      </c>
      <c r="AB3">
        <v>6.2411424892776603E-2</v>
      </c>
      <c r="AC3">
        <v>7.5030927196661802E-3</v>
      </c>
      <c r="AD3">
        <v>-1.8494369478520001E-3</v>
      </c>
      <c r="AE3">
        <v>1.7422155452524401E-3</v>
      </c>
      <c r="AF3">
        <v>1.0722140259963499E-4</v>
      </c>
      <c r="AG3">
        <f>AF3/AE3</f>
        <v>6.1543132760934607E-2</v>
      </c>
      <c r="AJ3">
        <v>1E-3</v>
      </c>
      <c r="AK3">
        <v>0.92916221543891298</v>
      </c>
      <c r="AL3">
        <v>6.32798537209842E-2</v>
      </c>
      <c r="AM3">
        <v>7.55793084010259E-3</v>
      </c>
      <c r="AN3">
        <v>-2.7727038964958598E-3</v>
      </c>
      <c r="AO3">
        <v>2.6106443734599601E-3</v>
      </c>
      <c r="AP3">
        <v>1.6205952303604499E-4</v>
      </c>
      <c r="AQ3">
        <f>AP3/AO3</f>
        <v>6.2076445449083889E-2</v>
      </c>
      <c r="AT3">
        <v>1E-3</v>
      </c>
      <c r="AU3">
        <v>0.92823991577411302</v>
      </c>
      <c r="AV3">
        <v>6.4146500434444406E-2</v>
      </c>
      <c r="AW3">
        <v>7.6135837914424404E-3</v>
      </c>
      <c r="AX3">
        <v>-3.6950035612960301E-3</v>
      </c>
      <c r="AY3">
        <v>3.4772910869202102E-3</v>
      </c>
      <c r="AZ3">
        <v>2.1771247437589499E-4</v>
      </c>
      <c r="BA3">
        <f>AZ3/AY3</f>
        <v>6.2609792776571943E-2</v>
      </c>
    </row>
    <row r="4" spans="1:53" ht="16.5" x14ac:dyDescent="0.45"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s="7" t="s">
        <v>25</v>
      </c>
      <c r="O4" t="s">
        <v>14</v>
      </c>
      <c r="P4" t="s">
        <v>15</v>
      </c>
      <c r="Q4" s="7" t="s">
        <v>26</v>
      </c>
      <c r="T4" t="s">
        <v>22</v>
      </c>
      <c r="U4" t="s">
        <v>10</v>
      </c>
      <c r="V4" t="s">
        <v>24</v>
      </c>
      <c r="Z4">
        <v>2E-3</v>
      </c>
      <c r="AA4">
        <v>0.92823795352674399</v>
      </c>
      <c r="AB4">
        <v>6.4150090694216594E-2</v>
      </c>
      <c r="AC4">
        <v>7.6119557790387598E-3</v>
      </c>
      <c r="AD4">
        <v>-3.69696580866463E-3</v>
      </c>
      <c r="AE4">
        <v>3.4808813466923601E-3</v>
      </c>
      <c r="AF4">
        <v>2.16084461972214E-4</v>
      </c>
      <c r="AG4">
        <f t="shared" ref="AG4:AG52" si="0">AF4/AE4</f>
        <v>6.2077514413855006E-2</v>
      </c>
      <c r="AJ4">
        <v>2E-3</v>
      </c>
      <c r="AK4">
        <v>0.92639527501890995</v>
      </c>
      <c r="AL4">
        <v>6.5879827547124598E-2</v>
      </c>
      <c r="AM4">
        <v>7.7248974339651603E-3</v>
      </c>
      <c r="AN4">
        <v>-5.5396443164989996E-3</v>
      </c>
      <c r="AO4">
        <v>5.2106181996003902E-3</v>
      </c>
      <c r="AP4">
        <v>3.2902611689861601E-4</v>
      </c>
      <c r="AQ4">
        <f t="shared" ref="AQ4:AQ52" si="1">AP4/AO4</f>
        <v>6.3145312954199853E-2</v>
      </c>
      <c r="AT4">
        <v>2E-3</v>
      </c>
      <c r="AU4">
        <v>0.92455646285680404</v>
      </c>
      <c r="AV4">
        <v>6.7602459310471694E-2</v>
      </c>
      <c r="AW4">
        <v>7.8410778327240391E-3</v>
      </c>
      <c r="AX4">
        <v>-7.3784564786049103E-3</v>
      </c>
      <c r="AY4">
        <v>6.9332499629474603E-3</v>
      </c>
      <c r="AZ4">
        <v>4.4520651565749502E-4</v>
      </c>
      <c r="BA4">
        <f t="shared" ref="BA4:BA52" si="2">AZ4/AY4</f>
        <v>6.4213250356868576E-2</v>
      </c>
    </row>
    <row r="5" spans="1:53" x14ac:dyDescent="0.35">
      <c r="B5">
        <v>1</v>
      </c>
      <c r="C5" s="8">
        <v>0.80923962065418598</v>
      </c>
      <c r="D5" s="8">
        <v>0.17395364831513899</v>
      </c>
      <c r="E5" s="8">
        <v>1.68067310306752E-2</v>
      </c>
      <c r="F5">
        <f>D5/SUM(C5:E5)</f>
        <v>0.17395364831513896</v>
      </c>
      <c r="G5">
        <f>E5/SUM(C5:E5)</f>
        <v>1.6806731030675197E-2</v>
      </c>
      <c r="H5">
        <f>F5-0.060669</f>
        <v>0.11328464831513896</v>
      </c>
      <c r="I5">
        <f>G5-0.007396</f>
        <v>9.4107310306751971E-3</v>
      </c>
      <c r="J5" s="6">
        <f>I5/H5</f>
        <v>8.3071547386510097E-2</v>
      </c>
      <c r="K5">
        <v>3.3574678927720883E-2</v>
      </c>
      <c r="L5">
        <v>5.5620906878059401E-2</v>
      </c>
      <c r="M5">
        <v>8.0619636169708395E-2</v>
      </c>
      <c r="N5" s="3">
        <f>H5*SLOPE($L$1:$M$1,L5:M5)+INTERCEPT($L$1:$M$1,L5:M5)</f>
        <v>4.3066669015189731</v>
      </c>
      <c r="O5">
        <v>7.9210042183645621E-2</v>
      </c>
      <c r="P5">
        <v>9.7450616426039582E-2</v>
      </c>
      <c r="Q5" s="3">
        <f>J5*SLOPE($L$1:$M$1,O5:P5)+INTERCEPT($L$1:$M$1,O5:P5)</f>
        <v>2.2116986642827134</v>
      </c>
      <c r="R5">
        <f>AVERAGE(Q5:Q9)</f>
        <v>2.2149954030387309</v>
      </c>
      <c r="S5">
        <f>STDEV(Q5:Q9)/SQRT(5)</f>
        <v>9.5198287346656016E-2</v>
      </c>
      <c r="T5">
        <v>1.4E-2</v>
      </c>
      <c r="U5">
        <v>3.3574678927720883E-2</v>
      </c>
      <c r="V5">
        <f>U5-T5</f>
        <v>1.9574678927720884E-2</v>
      </c>
      <c r="Z5">
        <v>3.0000000000000001E-3</v>
      </c>
      <c r="AA5">
        <v>0.92639233225072304</v>
      </c>
      <c r="AB5">
        <v>6.5885207145906496E-2</v>
      </c>
      <c r="AC5">
        <v>7.7224606033698597E-3</v>
      </c>
      <c r="AD5">
        <v>-5.5425870846855796E-3</v>
      </c>
      <c r="AE5">
        <v>5.2159977983822596E-3</v>
      </c>
      <c r="AF5">
        <v>3.2658928630331299E-4</v>
      </c>
      <c r="AG5">
        <f t="shared" si="0"/>
        <v>6.2613003096858008E-2</v>
      </c>
      <c r="AJ5">
        <v>3.0000000000000001E-3</v>
      </c>
      <c r="AK5">
        <v>0.92363409473109903</v>
      </c>
      <c r="AL5">
        <v>6.8469149379497496E-2</v>
      </c>
      <c r="AM5">
        <v>7.8967558894029403E-3</v>
      </c>
      <c r="AN5">
        <v>-8.3008246043095799E-3</v>
      </c>
      <c r="AO5">
        <v>7.7999400319733302E-3</v>
      </c>
      <c r="AP5">
        <v>5.0088457233639003E-4</v>
      </c>
      <c r="AQ5">
        <f t="shared" si="1"/>
        <v>6.4216464521929112E-2</v>
      </c>
      <c r="AT5">
        <v>3.0000000000000001E-3</v>
      </c>
      <c r="AU5">
        <v>0.920884550068513</v>
      </c>
      <c r="AV5">
        <v>7.1037157770495796E-2</v>
      </c>
      <c r="AW5">
        <v>8.0782921609906799E-3</v>
      </c>
      <c r="AX5">
        <v>-1.1050369266895701E-2</v>
      </c>
      <c r="AY5">
        <v>1.0367948422971601E-2</v>
      </c>
      <c r="AZ5">
        <v>6.8242084392413597E-4</v>
      </c>
      <c r="BA5">
        <f t="shared" si="2"/>
        <v>6.5820239075663201E-2</v>
      </c>
    </row>
    <row r="6" spans="1:53" x14ac:dyDescent="0.35">
      <c r="B6">
        <v>2</v>
      </c>
      <c r="C6" s="8">
        <v>0.793758023768522</v>
      </c>
      <c r="D6" s="8">
        <v>0.18680783294537201</v>
      </c>
      <c r="E6" s="8">
        <v>1.9434143286106001E-2</v>
      </c>
      <c r="F6">
        <f t="shared" ref="F6:F9" si="3">D6/SUM(C6:E6)</f>
        <v>0.18680783294537201</v>
      </c>
      <c r="G6">
        <f t="shared" ref="G6:G9" si="4">E6/SUM(C6:E6)</f>
        <v>1.9434143286106001E-2</v>
      </c>
      <c r="H6">
        <f t="shared" ref="H6:H9" si="5">F6-0.060669</f>
        <v>0.12613883294537201</v>
      </c>
      <c r="I6">
        <f t="shared" ref="I6:I9" si="6">G6-0.007396</f>
        <v>1.2038143286106001E-2</v>
      </c>
      <c r="J6" s="6">
        <f t="shared" ref="J6:J9" si="7">I6/H6</f>
        <v>9.5435664061672906E-2</v>
      </c>
      <c r="K6">
        <v>4.5534384183177054E-2</v>
      </c>
      <c r="L6">
        <v>7.4890712229760903E-2</v>
      </c>
      <c r="M6">
        <v>0.107182616595213</v>
      </c>
      <c r="N6" s="3">
        <f t="shared" ref="N6:N9" si="8">H6*SLOPE($L$1:$M$1,L6:M6)+INTERCEPT($L$1:$M$1,L6:M6)</f>
        <v>3.5870268949030937</v>
      </c>
      <c r="O6">
        <v>8.6150807472729629E-2</v>
      </c>
      <c r="P6">
        <v>0.11136885673152733</v>
      </c>
      <c r="Q6" s="3">
        <f t="shared" ref="Q6:Q9" si="9">J6*SLOPE($L$1:$M$1,O6:P6)+INTERCEPT($L$1:$M$1,O6:P6)</f>
        <v>2.3681829825002865</v>
      </c>
      <c r="T6">
        <v>2.1000000000000001E-2</v>
      </c>
      <c r="U6">
        <v>4.5534384183177054E-2</v>
      </c>
      <c r="V6">
        <f t="shared" ref="V6:V9" si="10">U6-T6</f>
        <v>2.4534384183177053E-2</v>
      </c>
      <c r="Z6">
        <v>4.0000000000000001E-3</v>
      </c>
      <c r="AA6">
        <v>0.92454861805842903</v>
      </c>
      <c r="AB6">
        <v>6.7616774639674193E-2</v>
      </c>
      <c r="AC6">
        <v>7.8346073018961196E-3</v>
      </c>
      <c r="AD6">
        <v>-7.3863012769795899E-3</v>
      </c>
      <c r="AE6">
        <v>6.94756529215005E-3</v>
      </c>
      <c r="AF6">
        <v>4.38735984829574E-4</v>
      </c>
      <c r="AG6">
        <f t="shared" si="0"/>
        <v>6.3149602253511058E-2</v>
      </c>
      <c r="AJ6">
        <v>4.0000000000000001E-3</v>
      </c>
      <c r="AK6">
        <v>0.92087867118786004</v>
      </c>
      <c r="AL6">
        <v>7.1047837803405706E-2</v>
      </c>
      <c r="AM6">
        <v>8.0734910087340607E-3</v>
      </c>
      <c r="AN6">
        <v>-1.10562481475489E-2</v>
      </c>
      <c r="AO6">
        <v>1.03786284558815E-2</v>
      </c>
      <c r="AP6">
        <v>6.7761969166751197E-4</v>
      </c>
      <c r="AQ6">
        <f t="shared" si="1"/>
        <v>6.5289907481321324E-2</v>
      </c>
      <c r="AT6">
        <v>4.0000000000000001E-3</v>
      </c>
      <c r="AU6">
        <v>0.917224166616467</v>
      </c>
      <c r="AV6">
        <v>7.4450667709017204E-2</v>
      </c>
      <c r="AW6">
        <v>8.3251656745149099E-3</v>
      </c>
      <c r="AX6">
        <v>-1.4710752718941201E-2</v>
      </c>
      <c r="AY6">
        <v>1.37814583614929E-2</v>
      </c>
      <c r="AZ6">
        <v>9.2929435744835802E-4</v>
      </c>
      <c r="BA6">
        <f t="shared" si="2"/>
        <v>6.7430770610236834E-2</v>
      </c>
    </row>
    <row r="7" spans="1:53" x14ac:dyDescent="0.35">
      <c r="B7">
        <v>3</v>
      </c>
      <c r="C7" s="8">
        <v>0.803629610989682</v>
      </c>
      <c r="D7" s="8">
        <v>0.17853488888949101</v>
      </c>
      <c r="E7" s="8">
        <v>1.78355001208273E-2</v>
      </c>
      <c r="F7">
        <f t="shared" si="3"/>
        <v>0.17853488888949098</v>
      </c>
      <c r="G7">
        <f t="shared" si="4"/>
        <v>1.7835500120827297E-2</v>
      </c>
      <c r="H7">
        <f t="shared" si="5"/>
        <v>0.11786588888949098</v>
      </c>
      <c r="I7">
        <f t="shared" si="6"/>
        <v>1.0439500120827297E-2</v>
      </c>
      <c r="J7" s="6">
        <f t="shared" si="7"/>
        <v>8.8571004038455872E-2</v>
      </c>
      <c r="K7">
        <v>4.3843577736610684E-2</v>
      </c>
      <c r="L7">
        <v>7.1714437346197896E-2</v>
      </c>
      <c r="M7">
        <v>0.102854662369695</v>
      </c>
      <c r="N7" s="3">
        <f t="shared" si="8"/>
        <v>3.482052602653614</v>
      </c>
      <c r="O7">
        <v>8.556552791021857E-2</v>
      </c>
      <c r="P7">
        <v>0.11019474716247837</v>
      </c>
      <c r="Q7" s="3">
        <f t="shared" si="9"/>
        <v>2.1220288835571406</v>
      </c>
      <c r="T7">
        <v>1.7000000000000001E-2</v>
      </c>
      <c r="U7">
        <v>4.3843577736610684E-2</v>
      </c>
      <c r="V7">
        <f t="shared" si="10"/>
        <v>2.6843577736610683E-2</v>
      </c>
      <c r="Z7">
        <v>5.0000000000000001E-3</v>
      </c>
      <c r="AA7">
        <v>0.92270681044998104</v>
      </c>
      <c r="AB7">
        <v>6.9344793565113402E-2</v>
      </c>
      <c r="AC7">
        <v>7.9483959849054493E-3</v>
      </c>
      <c r="AD7">
        <v>-9.2281088854280196E-3</v>
      </c>
      <c r="AE7">
        <v>8.6755842175892297E-3</v>
      </c>
      <c r="AF7">
        <v>5.5252466783890395E-4</v>
      </c>
      <c r="AG7">
        <f t="shared" si="0"/>
        <v>6.3687315341679596E-2</v>
      </c>
      <c r="AJ7">
        <v>5.0000000000000001E-3</v>
      </c>
      <c r="AK7">
        <v>0.91812900095851702</v>
      </c>
      <c r="AL7">
        <v>7.3615911435444506E-2</v>
      </c>
      <c r="AM7">
        <v>8.2550876060373708E-3</v>
      </c>
      <c r="AN7">
        <v>-1.3805918376891199E-2</v>
      </c>
      <c r="AO7">
        <v>1.29467020879203E-2</v>
      </c>
      <c r="AP7">
        <v>8.5921628897082198E-4</v>
      </c>
      <c r="AQ7">
        <f t="shared" si="1"/>
        <v>6.6365649192816373E-2</v>
      </c>
      <c r="AT7">
        <v>5.0000000000000001E-3</v>
      </c>
      <c r="AU7">
        <v>0.91357530143337995</v>
      </c>
      <c r="AV7">
        <v>7.7843061115432502E-2</v>
      </c>
      <c r="AW7">
        <v>8.5816374511870405E-3</v>
      </c>
      <c r="AX7">
        <v>-1.8359617902028599E-2</v>
      </c>
      <c r="AY7">
        <v>1.7173851767908199E-2</v>
      </c>
      <c r="AZ7">
        <v>1.1857661341204901E-3</v>
      </c>
      <c r="BA7">
        <f t="shared" si="2"/>
        <v>6.9044856689415707E-2</v>
      </c>
    </row>
    <row r="8" spans="1:53" x14ac:dyDescent="0.35">
      <c r="B8">
        <v>4</v>
      </c>
      <c r="C8" s="8">
        <v>0.812848487977469</v>
      </c>
      <c r="D8" s="8">
        <v>0.17058106072616999</v>
      </c>
      <c r="E8" s="8">
        <v>1.65704512963608E-2</v>
      </c>
      <c r="F8">
        <f t="shared" si="3"/>
        <v>0.17058106072617002</v>
      </c>
      <c r="G8">
        <f t="shared" si="4"/>
        <v>1.6570451296360804E-2</v>
      </c>
      <c r="H8">
        <f t="shared" si="5"/>
        <v>0.10991206072617002</v>
      </c>
      <c r="I8">
        <f t="shared" si="6"/>
        <v>9.1744512963608041E-3</v>
      </c>
      <c r="J8" s="6">
        <f t="shared" si="7"/>
        <v>8.3470833280231374E-2</v>
      </c>
      <c r="K8">
        <v>4.3799842630698568E-2</v>
      </c>
      <c r="L8">
        <v>7.1714437346197896E-2</v>
      </c>
      <c r="M8">
        <v>0.102854662369695</v>
      </c>
      <c r="N8" s="3">
        <f t="shared" si="8"/>
        <v>3.2266328631584966</v>
      </c>
      <c r="O8">
        <v>8.556552791021857E-2</v>
      </c>
      <c r="P8">
        <v>0.11019474716247837</v>
      </c>
      <c r="Q8" s="3">
        <f t="shared" si="9"/>
        <v>1.9149508310217751</v>
      </c>
      <c r="T8">
        <v>1.4E-2</v>
      </c>
      <c r="U8">
        <v>4.3799842630698568E-2</v>
      </c>
      <c r="V8">
        <f t="shared" si="10"/>
        <v>2.979984263069857E-2</v>
      </c>
      <c r="Z8">
        <v>6.0000000000000001E-3</v>
      </c>
      <c r="AA8">
        <v>0.920866908926679</v>
      </c>
      <c r="AB8">
        <v>7.1069264309583199E-2</v>
      </c>
      <c r="AC8">
        <v>8.0638267637371999E-3</v>
      </c>
      <c r="AD8">
        <v>-1.10680104087296E-2</v>
      </c>
      <c r="AE8">
        <v>1.0400054962059001E-2</v>
      </c>
      <c r="AF8">
        <v>6.67955446670656E-4</v>
      </c>
      <c r="AG8">
        <f t="shared" si="0"/>
        <v>6.4226145833599937E-2</v>
      </c>
      <c r="AJ8">
        <v>6.0000000000000001E-3</v>
      </c>
      <c r="AK8">
        <v>0.91538508056961099</v>
      </c>
      <c r="AL8">
        <v>7.6173388923046106E-2</v>
      </c>
      <c r="AM8">
        <v>8.4415305073422108E-3</v>
      </c>
      <c r="AN8">
        <v>-1.6549838765797499E-2</v>
      </c>
      <c r="AO8">
        <v>1.55041795755218E-2</v>
      </c>
      <c r="AP8">
        <v>1.04565919027566E-3</v>
      </c>
      <c r="AQ8">
        <f t="shared" si="1"/>
        <v>6.7443697048411411E-2</v>
      </c>
      <c r="AT8">
        <v>6.0000000000000001E-3</v>
      </c>
      <c r="AU8">
        <v>0.90993794318072097</v>
      </c>
      <c r="AV8">
        <v>8.1214410069369206E-2</v>
      </c>
      <c r="AW8">
        <v>8.8476467499090296E-3</v>
      </c>
      <c r="AX8">
        <v>-2.19969761546875E-2</v>
      </c>
      <c r="AY8">
        <v>2.0545200721845E-2</v>
      </c>
      <c r="AZ8">
        <v>1.4517754328424799E-3</v>
      </c>
      <c r="BA8">
        <f t="shared" si="2"/>
        <v>7.0662509093856518E-2</v>
      </c>
    </row>
    <row r="9" spans="1:53" x14ac:dyDescent="0.35">
      <c r="B9">
        <v>5</v>
      </c>
      <c r="C9" s="8">
        <v>0.79301097576975699</v>
      </c>
      <c r="D9" s="8">
        <v>0.18791703011432001</v>
      </c>
      <c r="E9" s="8">
        <v>1.9071994115922499E-2</v>
      </c>
      <c r="F9">
        <f t="shared" si="3"/>
        <v>0.18791703011432009</v>
      </c>
      <c r="G9">
        <f t="shared" si="4"/>
        <v>1.9071994115922506E-2</v>
      </c>
      <c r="H9">
        <f t="shared" si="5"/>
        <v>0.12724803011432009</v>
      </c>
      <c r="I9">
        <f t="shared" si="6"/>
        <v>1.1675994115922506E-2</v>
      </c>
      <c r="J9" s="6">
        <f t="shared" si="7"/>
        <v>9.1757759278731074E-2</v>
      </c>
      <c r="K9">
        <v>3.8264149957200982E-2</v>
      </c>
      <c r="L9">
        <v>6.3711880293989095E-2</v>
      </c>
      <c r="M9">
        <v>9.1861728254537395E-2</v>
      </c>
      <c r="N9" s="3">
        <f t="shared" si="8"/>
        <v>4.2570690225175003</v>
      </c>
      <c r="O9">
        <v>8.2080270216360357E-2</v>
      </c>
      <c r="P9">
        <v>0.10320482464148631</v>
      </c>
      <c r="Q9" s="3">
        <f t="shared" si="9"/>
        <v>2.4581156538317384</v>
      </c>
      <c r="T9">
        <v>1.8499999999999999E-2</v>
      </c>
      <c r="U9">
        <v>3.8264149957200982E-2</v>
      </c>
      <c r="V9">
        <f t="shared" si="10"/>
        <v>1.9764149957200983E-2</v>
      </c>
      <c r="Z9">
        <v>7.0000000000000001E-3</v>
      </c>
      <c r="AA9">
        <v>0.91902891299100797</v>
      </c>
      <c r="AB9">
        <v>7.2790187258209099E-2</v>
      </c>
      <c r="AC9">
        <v>8.1808997507823999E-3</v>
      </c>
      <c r="AD9">
        <v>-1.2906006344400599E-2</v>
      </c>
      <c r="AE9">
        <v>1.2120977910684901E-2</v>
      </c>
      <c r="AF9">
        <v>7.8502843371584796E-4</v>
      </c>
      <c r="AG9">
        <f t="shared" si="0"/>
        <v>6.4766097215953888E-2</v>
      </c>
      <c r="AJ9">
        <v>7.0000000000000001E-3</v>
      </c>
      <c r="AK9">
        <v>0.91264690650515801</v>
      </c>
      <c r="AL9">
        <v>7.8720288944024303E-2</v>
      </c>
      <c r="AM9">
        <v>8.6328045508168097E-3</v>
      </c>
      <c r="AN9">
        <v>-1.9288012830250199E-2</v>
      </c>
      <c r="AO9">
        <v>1.80510795965E-2</v>
      </c>
      <c r="AP9">
        <v>1.23693323375026E-3</v>
      </c>
      <c r="AQ9">
        <f t="shared" si="1"/>
        <v>6.8524058471832017E-2</v>
      </c>
      <c r="AT9">
        <v>7.0000000000000001E-3</v>
      </c>
      <c r="AU9">
        <v>0.90631208025197396</v>
      </c>
      <c r="AV9">
        <v>8.4564786736067696E-2</v>
      </c>
      <c r="AW9">
        <v>9.1231330119577701E-3</v>
      </c>
      <c r="AX9">
        <v>-2.5622839083434702E-2</v>
      </c>
      <c r="AY9">
        <v>2.3895577388543501E-2</v>
      </c>
      <c r="AZ9">
        <v>1.72726169489122E-3</v>
      </c>
      <c r="BA9">
        <f t="shared" si="2"/>
        <v>7.2283739656332335E-2</v>
      </c>
    </row>
    <row r="10" spans="1:53" x14ac:dyDescent="0.35">
      <c r="Z10">
        <v>8.0000000000000002E-3</v>
      </c>
      <c r="AA10">
        <v>0.917192822146633</v>
      </c>
      <c r="AB10">
        <v>7.4507562793882695E-2</v>
      </c>
      <c r="AC10">
        <v>8.2996150594838898E-3</v>
      </c>
      <c r="AD10">
        <v>-1.4742097188775701E-2</v>
      </c>
      <c r="AE10">
        <v>1.3838353446358399E-2</v>
      </c>
      <c r="AF10">
        <v>9.0374374241734097E-4</v>
      </c>
      <c r="AG10">
        <f t="shared" si="0"/>
        <v>6.530717298994583E-2</v>
      </c>
      <c r="AJ10">
        <v>8.0000000000000002E-3</v>
      </c>
      <c r="AK10">
        <v>0.90991447520692104</v>
      </c>
      <c r="AL10">
        <v>8.1256630206123198E-2</v>
      </c>
      <c r="AM10">
        <v>8.8288945869553197E-3</v>
      </c>
      <c r="AN10">
        <v>-2.20204441284878E-2</v>
      </c>
      <c r="AO10">
        <v>2.0587420858599E-2</v>
      </c>
      <c r="AP10">
        <v>1.4330232698887601E-3</v>
      </c>
      <c r="AQ10">
        <f t="shared" si="1"/>
        <v>6.9606740918700935E-2</v>
      </c>
      <c r="AT10">
        <v>8.0000000000000002E-3</v>
      </c>
      <c r="AU10">
        <v>0.90269770077586997</v>
      </c>
      <c r="AV10">
        <v>8.7894263361811206E-2</v>
      </c>
      <c r="AW10">
        <v>9.4080358623182397E-3</v>
      </c>
      <c r="AX10">
        <v>-2.9237218559538598E-2</v>
      </c>
      <c r="AY10">
        <v>2.7225054014287001E-2</v>
      </c>
      <c r="AZ10">
        <v>2.0121645452516801E-3</v>
      </c>
      <c r="BA10">
        <f t="shared" si="2"/>
        <v>7.3908560262019987E-2</v>
      </c>
    </row>
    <row r="11" spans="1:53" x14ac:dyDescent="0.35">
      <c r="Z11">
        <v>8.9999999999999993E-3</v>
      </c>
      <c r="AA11">
        <v>0.91535863589840105</v>
      </c>
      <c r="AB11">
        <v>7.62213912972622E-2</v>
      </c>
      <c r="AC11">
        <v>8.4199728043366107E-3</v>
      </c>
      <c r="AD11">
        <v>-1.6576283437008101E-2</v>
      </c>
      <c r="AE11">
        <v>1.5552181949737899E-2</v>
      </c>
      <c r="AF11">
        <v>1.0241014872700599E-3</v>
      </c>
      <c r="AG11">
        <f t="shared" si="0"/>
        <v>6.5849376671375623E-2</v>
      </c>
      <c r="AJ11">
        <v>8.9999999999999993E-3</v>
      </c>
      <c r="AK11">
        <v>0.90718778307466996</v>
      </c>
      <c r="AL11">
        <v>8.3782431446566205E-2</v>
      </c>
      <c r="AM11">
        <v>9.0297854787633695E-3</v>
      </c>
      <c r="AN11">
        <v>-2.4747136260738701E-2</v>
      </c>
      <c r="AO11">
        <v>2.3113222099042E-2</v>
      </c>
      <c r="AP11">
        <v>1.63391416169682E-3</v>
      </c>
      <c r="AQ11">
        <f t="shared" si="1"/>
        <v>7.0691751876712283E-2</v>
      </c>
      <c r="AT11">
        <v>8.9999999999999993E-3</v>
      </c>
      <c r="AU11">
        <v>0.89909479261960901</v>
      </c>
      <c r="AV11">
        <v>9.1202912269403497E-2</v>
      </c>
      <c r="AW11">
        <v>9.70229511098669E-3</v>
      </c>
      <c r="AX11">
        <v>-3.28401267157995E-2</v>
      </c>
      <c r="AY11">
        <v>3.0533702921879301E-2</v>
      </c>
      <c r="AZ11">
        <v>2.3064237939201299E-3</v>
      </c>
      <c r="BA11">
        <f t="shared" si="2"/>
        <v>7.5536982848792747E-2</v>
      </c>
    </row>
    <row r="12" spans="1:53" x14ac:dyDescent="0.35">
      <c r="Z12">
        <v>0.01</v>
      </c>
      <c r="AA12">
        <v>0.91352635375233904</v>
      </c>
      <c r="AB12">
        <v>7.7931673146772601E-2</v>
      </c>
      <c r="AC12">
        <v>8.5419731008877404E-3</v>
      </c>
      <c r="AD12">
        <v>-1.8408565583069501E-2</v>
      </c>
      <c r="AE12">
        <v>1.7262463799248399E-2</v>
      </c>
      <c r="AF12">
        <v>1.1461017838211901E-3</v>
      </c>
      <c r="AG12">
        <f t="shared" si="0"/>
        <v>6.6392711790717318E-2</v>
      </c>
      <c r="AJ12">
        <v>0.01</v>
      </c>
      <c r="AK12">
        <v>0.90446682646645005</v>
      </c>
      <c r="AL12">
        <v>8.6297711431607499E-2</v>
      </c>
      <c r="AM12">
        <v>9.2354621019423294E-3</v>
      </c>
      <c r="AN12">
        <v>-2.7468092868959099E-2</v>
      </c>
      <c r="AO12">
        <v>2.56285020840833E-2</v>
      </c>
      <c r="AP12">
        <v>1.83959078487577E-3</v>
      </c>
      <c r="AQ12">
        <f t="shared" si="1"/>
        <v>7.1779098865799737E-2</v>
      </c>
      <c r="AT12">
        <v>0.01</v>
      </c>
      <c r="AU12">
        <v>0.89550334339206095</v>
      </c>
      <c r="AV12">
        <v>9.4490805853694307E-2</v>
      </c>
      <c r="AW12">
        <v>1.00058507542441E-2</v>
      </c>
      <c r="AX12">
        <v>-3.6431575943347602E-2</v>
      </c>
      <c r="AY12">
        <v>3.3821596506169997E-2</v>
      </c>
      <c r="AZ12">
        <v>2.6099794371776401E-3</v>
      </c>
      <c r="BA12">
        <f t="shared" si="2"/>
        <v>7.7169019407511044E-2</v>
      </c>
    </row>
    <row r="13" spans="1:53" x14ac:dyDescent="0.35">
      <c r="Z13">
        <v>1.0999999999999999E-2</v>
      </c>
      <c r="AA13">
        <v>0.91169597521565704</v>
      </c>
      <c r="AB13">
        <v>7.9638408718606002E-2</v>
      </c>
      <c r="AC13">
        <v>8.6656160657369204E-3</v>
      </c>
      <c r="AD13">
        <v>-2.0238944119751998E-2</v>
      </c>
      <c r="AE13">
        <v>1.8969199371081699E-2</v>
      </c>
      <c r="AF13">
        <v>1.26974474867037E-3</v>
      </c>
      <c r="AG13">
        <f t="shared" si="0"/>
        <v>6.6937181893194683E-2</v>
      </c>
      <c r="AJ13">
        <v>1.0999999999999999E-2</v>
      </c>
      <c r="AK13">
        <v>0.90175160169884205</v>
      </c>
      <c r="AL13">
        <v>8.8802488956085807E-2</v>
      </c>
      <c r="AM13">
        <v>9.4459093450720392E-3</v>
      </c>
      <c r="AN13">
        <v>-3.0183317636567002E-2</v>
      </c>
      <c r="AO13">
        <v>2.8133279608561601E-2</v>
      </c>
      <c r="AP13">
        <v>2.05003802800549E-3</v>
      </c>
      <c r="AQ13">
        <f t="shared" si="1"/>
        <v>7.2868789438314069E-2</v>
      </c>
      <c r="AT13">
        <v>1.0999999999999999E-2</v>
      </c>
      <c r="AU13">
        <v>0.89192334044694699</v>
      </c>
      <c r="AV13">
        <v>9.7758016577151399E-2</v>
      </c>
      <c r="AW13">
        <v>1.03186429759007E-2</v>
      </c>
      <c r="AX13">
        <v>-4.0011578888461297E-2</v>
      </c>
      <c r="AY13">
        <v>3.7088807229627201E-2</v>
      </c>
      <c r="AZ13">
        <v>2.9227716588342101E-3</v>
      </c>
      <c r="BA13">
        <f t="shared" si="2"/>
        <v>7.8804681982316438E-2</v>
      </c>
    </row>
    <row r="14" spans="1:53" x14ac:dyDescent="0.35">
      <c r="Z14">
        <v>1.2E-2</v>
      </c>
      <c r="AA14">
        <v>0.90986749979674197</v>
      </c>
      <c r="AB14">
        <v>8.1341598386721503E-2</v>
      </c>
      <c r="AC14">
        <v>8.7909018165364793E-3</v>
      </c>
      <c r="AD14">
        <v>-2.2067419538667199E-2</v>
      </c>
      <c r="AE14">
        <v>2.06723890391972E-2</v>
      </c>
      <c r="AF14">
        <v>1.3950304994699201E-3</v>
      </c>
      <c r="AG14">
        <f t="shared" si="0"/>
        <v>6.7482790538857584E-2</v>
      </c>
      <c r="AJ14">
        <v>1.2E-2</v>
      </c>
      <c r="AK14">
        <v>0.89904210504722804</v>
      </c>
      <c r="AL14">
        <v>9.1296782842979596E-2</v>
      </c>
      <c r="AM14">
        <v>9.66111210979235E-3</v>
      </c>
      <c r="AN14">
        <v>-3.2892814288181103E-2</v>
      </c>
      <c r="AO14">
        <v>3.06275734954553E-2</v>
      </c>
      <c r="AP14">
        <v>2.2652407927257899E-3</v>
      </c>
      <c r="AQ14">
        <f t="shared" si="1"/>
        <v>7.3960831179196079E-2</v>
      </c>
      <c r="AT14">
        <v>1.2E-2</v>
      </c>
      <c r="AU14">
        <v>0.888354770886008</v>
      </c>
      <c r="AV14">
        <v>0.10100461696548001</v>
      </c>
      <c r="AW14">
        <v>1.06406121485103E-2</v>
      </c>
      <c r="AX14">
        <v>-4.3580148449400301E-2</v>
      </c>
      <c r="AY14">
        <v>4.0335407617956599E-2</v>
      </c>
      <c r="AZ14">
        <v>3.2447408314438E-3</v>
      </c>
      <c r="BA14">
        <f t="shared" si="2"/>
        <v>8.0443982670930031E-2</v>
      </c>
    </row>
    <row r="15" spans="1:53" x14ac:dyDescent="0.35">
      <c r="Z15">
        <v>1.2999999999999999E-2</v>
      </c>
      <c r="AA15">
        <v>0.90804092700516204</v>
      </c>
      <c r="AB15">
        <v>8.3041242522845699E-2</v>
      </c>
      <c r="AC15">
        <v>8.9178304719916002E-3</v>
      </c>
      <c r="AD15">
        <v>-2.38939923302465E-2</v>
      </c>
      <c r="AE15">
        <v>2.23720331753215E-2</v>
      </c>
      <c r="AF15">
        <v>1.5219591549250401E-3</v>
      </c>
      <c r="AG15">
        <f t="shared" si="0"/>
        <v>6.8029541302661173E-2</v>
      </c>
      <c r="AJ15">
        <v>1.2999999999999999E-2</v>
      </c>
      <c r="AK15">
        <v>0.89633833274605201</v>
      </c>
      <c r="AL15">
        <v>9.3780611942964096E-2</v>
      </c>
      <c r="AM15">
        <v>9.8810553109830394E-3</v>
      </c>
      <c r="AN15">
        <v>-3.5596586589356299E-2</v>
      </c>
      <c r="AO15">
        <v>3.3111402595439897E-2</v>
      </c>
      <c r="AP15">
        <v>2.4851839939164901E-3</v>
      </c>
      <c r="AQ15">
        <f t="shared" si="1"/>
        <v>7.5055231706153996E-2</v>
      </c>
      <c r="AT15">
        <v>1.2999999999999999E-2</v>
      </c>
      <c r="AU15">
        <v>0.88479762156214903</v>
      </c>
      <c r="AV15">
        <v>0.10423067960329301</v>
      </c>
      <c r="AW15">
        <v>1.0971698834557E-2</v>
      </c>
      <c r="AX15">
        <v>-4.7137297773259298E-2</v>
      </c>
      <c r="AY15">
        <v>4.35614702557688E-2</v>
      </c>
      <c r="AZ15">
        <v>3.5758275174904899E-3</v>
      </c>
      <c r="BA15">
        <f t="shared" si="2"/>
        <v>8.2086933624949149E-2</v>
      </c>
    </row>
    <row r="16" spans="1:53" x14ac:dyDescent="0.35">
      <c r="Z16">
        <v>1.4E-2</v>
      </c>
      <c r="AA16">
        <v>0.90621625635166603</v>
      </c>
      <c r="AB16">
        <v>8.4737341496473106E-2</v>
      </c>
      <c r="AC16">
        <v>9.0464021518605695E-3</v>
      </c>
      <c r="AD16">
        <v>-2.5718662983742799E-2</v>
      </c>
      <c r="AE16">
        <v>2.4068132148948901E-2</v>
      </c>
      <c r="AF16">
        <v>1.65053083479402E-3</v>
      </c>
      <c r="AG16">
        <f t="shared" si="0"/>
        <v>6.8577437774542949E-2</v>
      </c>
      <c r="AJ16">
        <v>1.4E-2</v>
      </c>
      <c r="AK16">
        <v>0.89364028098908599</v>
      </c>
      <c r="AL16">
        <v>9.6253995133971301E-2</v>
      </c>
      <c r="AM16">
        <v>1.01057238769425E-2</v>
      </c>
      <c r="AN16">
        <v>-3.82946383463229E-2</v>
      </c>
      <c r="AO16">
        <v>3.5584785786446999E-2</v>
      </c>
      <c r="AP16">
        <v>2.7098525598760101E-3</v>
      </c>
      <c r="AQ16">
        <f t="shared" si="1"/>
        <v>7.6151998669838794E-2</v>
      </c>
      <c r="AT16">
        <v>1.4E-2</v>
      </c>
      <c r="AU16">
        <v>0.88125187908256997</v>
      </c>
      <c r="AV16">
        <v>0.107436277129816</v>
      </c>
      <c r="AW16">
        <v>1.13118437876125E-2</v>
      </c>
      <c r="AX16">
        <v>-5.0683040252838499E-2</v>
      </c>
      <c r="AY16">
        <v>4.6767067782292497E-2</v>
      </c>
      <c r="AZ16">
        <v>3.9159724705459999E-3</v>
      </c>
      <c r="BA16">
        <f t="shared" si="2"/>
        <v>8.3733547050146934E-2</v>
      </c>
    </row>
    <row r="17" spans="1:53" x14ac:dyDescent="0.35">
      <c r="Z17">
        <v>1.4999999999999999E-2</v>
      </c>
      <c r="AA17">
        <v>0.90439348734817904</v>
      </c>
      <c r="AB17">
        <v>8.6429895674865698E-2</v>
      </c>
      <c r="AC17">
        <v>9.1766169769549807E-3</v>
      </c>
      <c r="AD17">
        <v>-2.7541431987230001E-2</v>
      </c>
      <c r="AE17">
        <v>2.5760686327341499E-2</v>
      </c>
      <c r="AF17">
        <v>1.78074565988843E-3</v>
      </c>
      <c r="AG17">
        <f t="shared" si="0"/>
        <v>6.9126483559500823E-2</v>
      </c>
      <c r="AJ17">
        <v>1.4999999999999999E-2</v>
      </c>
      <c r="AK17">
        <v>0.89094794592968396</v>
      </c>
      <c r="AL17">
        <v>9.8716951320750299E-2</v>
      </c>
      <c r="AM17">
        <v>1.0335102749565299E-2</v>
      </c>
      <c r="AN17">
        <v>-4.0986973405724797E-2</v>
      </c>
      <c r="AO17">
        <v>3.8047741973226003E-2</v>
      </c>
      <c r="AP17">
        <v>2.93923143249874E-3</v>
      </c>
      <c r="AQ17">
        <f t="shared" si="1"/>
        <v>7.7251139754024353E-2</v>
      </c>
      <c r="AT17">
        <v>1.4999999999999999E-2</v>
      </c>
      <c r="AU17">
        <v>0.87771752981187501</v>
      </c>
      <c r="AV17">
        <v>0.11062148223465799</v>
      </c>
      <c r="AW17">
        <v>1.16609879534655E-2</v>
      </c>
      <c r="AX17">
        <v>-5.4217389523533201E-2</v>
      </c>
      <c r="AY17">
        <v>4.9952272887134198E-2</v>
      </c>
      <c r="AZ17">
        <v>4.2651166363990196E-3</v>
      </c>
      <c r="BA17">
        <f t="shared" si="2"/>
        <v>8.5383835206776976E-2</v>
      </c>
    </row>
    <row r="18" spans="1:53" x14ac:dyDescent="0.35">
      <c r="A18" s="2" t="s">
        <v>18</v>
      </c>
      <c r="Z18">
        <v>1.6E-2</v>
      </c>
      <c r="AA18">
        <v>0.90257261950780598</v>
      </c>
      <c r="AB18">
        <v>8.8118905423053798E-2</v>
      </c>
      <c r="AC18">
        <v>9.30847506913993E-3</v>
      </c>
      <c r="AD18">
        <v>-2.9362299827602901E-2</v>
      </c>
      <c r="AE18">
        <v>2.7449696075529599E-2</v>
      </c>
      <c r="AF18">
        <v>1.9126037520733801E-3</v>
      </c>
      <c r="AG18">
        <f t="shared" si="0"/>
        <v>6.967668227767361E-2</v>
      </c>
      <c r="AJ18">
        <v>1.6E-2</v>
      </c>
      <c r="AK18">
        <v>0.88826132368105104</v>
      </c>
      <c r="AL18">
        <v>0.101169499434431</v>
      </c>
      <c r="AM18">
        <v>1.05691768845174E-2</v>
      </c>
      <c r="AN18">
        <v>-4.3673595654357598E-2</v>
      </c>
      <c r="AO18">
        <v>4.0500290086906698E-2</v>
      </c>
      <c r="AP18">
        <v>3.1733055674508601E-3</v>
      </c>
      <c r="AQ18">
        <f t="shared" si="1"/>
        <v>7.83526626757855E-2</v>
      </c>
      <c r="AT18">
        <v>1.6E-2</v>
      </c>
      <c r="AU18">
        <v>0.87419455987516703</v>
      </c>
      <c r="AV18">
        <v>0.113786367653609</v>
      </c>
      <c r="AW18">
        <v>1.20190724712229E-2</v>
      </c>
      <c r="AX18">
        <v>-5.7740359460241503E-2</v>
      </c>
      <c r="AY18">
        <v>5.3117158306085301E-2</v>
      </c>
      <c r="AZ18">
        <v>4.6232011541563599E-3</v>
      </c>
      <c r="BA18">
        <f t="shared" si="2"/>
        <v>8.7037810409874822E-2</v>
      </c>
    </row>
    <row r="19" spans="1:53" x14ac:dyDescent="0.35">
      <c r="Z19">
        <v>1.7000000000000001E-2</v>
      </c>
      <c r="AA19">
        <v>0.90075365234482896</v>
      </c>
      <c r="AB19">
        <v>8.9804371103836003E-2</v>
      </c>
      <c r="AC19">
        <v>9.4419765513342503E-3</v>
      </c>
      <c r="AD19">
        <v>-3.11812669905795E-2</v>
      </c>
      <c r="AE19">
        <v>2.9135161756311801E-2</v>
      </c>
      <c r="AF19">
        <v>2.0461052342677002E-3</v>
      </c>
      <c r="AG19">
        <f t="shared" si="0"/>
        <v>7.0228037564419379E-2</v>
      </c>
      <c r="AJ19">
        <v>1.7000000000000001E-2</v>
      </c>
      <c r="AK19">
        <v>0.88558041031649903</v>
      </c>
      <c r="AL19">
        <v>0.103611658432089</v>
      </c>
      <c r="AM19">
        <v>1.08079312514114E-2</v>
      </c>
      <c r="AN19">
        <v>-4.6354509018909598E-2</v>
      </c>
      <c r="AO19">
        <v>4.29424490845648E-2</v>
      </c>
      <c r="AP19">
        <v>3.4120599343449198E-3</v>
      </c>
      <c r="AQ19">
        <f t="shared" si="1"/>
        <v>7.9456575185679099E-2</v>
      </c>
      <c r="AT19">
        <v>1.7000000000000001E-2</v>
      </c>
      <c r="AU19">
        <v>0.87068295516111804</v>
      </c>
      <c r="AV19">
        <v>0.116931006164498</v>
      </c>
      <c r="AW19">
        <v>1.2386038674382999E-2</v>
      </c>
      <c r="AX19">
        <v>-6.1251964174290401E-2</v>
      </c>
      <c r="AY19">
        <v>5.6261796816973998E-2</v>
      </c>
      <c r="AZ19">
        <v>4.9901673573164501E-3</v>
      </c>
      <c r="BA19">
        <f t="shared" si="2"/>
        <v>8.8695485029566867E-2</v>
      </c>
    </row>
    <row r="20" spans="1:53" ht="16.5" x14ac:dyDescent="0.45"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s="7" t="s">
        <v>25</v>
      </c>
      <c r="O20" t="s">
        <v>14</v>
      </c>
      <c r="P20" t="s">
        <v>15</v>
      </c>
      <c r="Q20" s="7" t="s">
        <v>26</v>
      </c>
      <c r="T20" t="s">
        <v>22</v>
      </c>
      <c r="U20" t="s">
        <v>10</v>
      </c>
      <c r="V20" t="s">
        <v>24</v>
      </c>
      <c r="Z20">
        <v>1.7999999999999999E-2</v>
      </c>
      <c r="AA20">
        <v>0.89893658537471</v>
      </c>
      <c r="AB20">
        <v>9.1486293077779196E-2</v>
      </c>
      <c r="AC20">
        <v>9.5771215475107304E-3</v>
      </c>
      <c r="AD20">
        <v>-3.2998333960699101E-2</v>
      </c>
      <c r="AE20">
        <v>3.0817083730255001E-2</v>
      </c>
      <c r="AF20">
        <v>2.1812502304441798E-3</v>
      </c>
      <c r="AG20">
        <f t="shared" si="0"/>
        <v>7.0780553070396934E-2</v>
      </c>
      <c r="AJ20">
        <v>1.7999999999999999E-2</v>
      </c>
      <c r="AK20">
        <v>0.882905201869707</v>
      </c>
      <c r="AL20">
        <v>0.106043447296312</v>
      </c>
      <c r="AM20">
        <v>1.10513508339795E-2</v>
      </c>
      <c r="AN20">
        <v>-4.9029717465701297E-2</v>
      </c>
      <c r="AO20">
        <v>4.53742379487884E-2</v>
      </c>
      <c r="AP20">
        <v>3.65547951691297E-3</v>
      </c>
      <c r="AQ20">
        <f t="shared" si="1"/>
        <v>8.0562885067926082E-2</v>
      </c>
      <c r="AT20">
        <v>1.7999999999999999E-2</v>
      </c>
      <c r="AU20">
        <v>0.86718270132502895</v>
      </c>
      <c r="AV20">
        <v>0.12005547058308901</v>
      </c>
      <c r="AW20">
        <v>1.27618280918817E-2</v>
      </c>
      <c r="AX20">
        <v>-6.4752218010380003E-2</v>
      </c>
      <c r="AY20">
        <v>5.93862612355648E-2</v>
      </c>
      <c r="AZ20">
        <v>5.3659567748152301E-3</v>
      </c>
      <c r="BA20">
        <f t="shared" si="2"/>
        <v>9.0356871491376292E-2</v>
      </c>
    </row>
    <row r="21" spans="1:53" x14ac:dyDescent="0.35">
      <c r="B21">
        <v>1</v>
      </c>
      <c r="C21" s="8">
        <v>0.79844577220908475</v>
      </c>
      <c r="D21" s="8">
        <v>0.18014536509000401</v>
      </c>
      <c r="E21" s="8">
        <v>2.140886270091126E-2</v>
      </c>
      <c r="F21">
        <f>D21/SUM(C21:E21)</f>
        <v>0.18014536509000401</v>
      </c>
      <c r="G21">
        <f>E21/SUM(C21:E21)</f>
        <v>2.140886270091126E-2</v>
      </c>
      <c r="H21">
        <f>F21-0.060669</f>
        <v>0.11947636509000401</v>
      </c>
      <c r="I21">
        <f>G21-0.007396</f>
        <v>1.4012862700911261E-2</v>
      </c>
      <c r="J21" s="6">
        <f>I21/H21</f>
        <v>0.11728564633143201</v>
      </c>
      <c r="K21">
        <v>3.3574678927720883E-2</v>
      </c>
      <c r="L21">
        <v>5.5620906878059401E-2</v>
      </c>
      <c r="M21">
        <v>8.0619636169708395E-2</v>
      </c>
      <c r="N21" s="3">
        <f t="shared" ref="N21:N25" si="11">H21*SLOPE($L$1:$M$1,L21:M21)+INTERCEPT($L$1:$M$1,L21:M21)</f>
        <v>4.554348161739405</v>
      </c>
      <c r="O21">
        <v>7.9210042183645621E-2</v>
      </c>
      <c r="P21">
        <v>9.7450616426039582E-2</v>
      </c>
      <c r="Q21" s="3">
        <f t="shared" ref="Q21:Q25" si="12">J21*SLOPE($L$1:$M$1,O21:P21)+INTERCEPT($L$1:$M$1,O21:P21)</f>
        <v>4.0874125804270296</v>
      </c>
      <c r="R21">
        <f>AVERAGE(Q21:Q24)</f>
        <v>4.0589256308740227</v>
      </c>
      <c r="S21">
        <f>STDEV(Q21:Q24)/4</f>
        <v>3.6250661442884746E-2</v>
      </c>
      <c r="T21">
        <v>3.4000000000000002E-2</v>
      </c>
      <c r="U21">
        <v>3.3574678927720883E-2</v>
      </c>
      <c r="V21">
        <f>U21-T21</f>
        <v>-4.2532107227911953E-4</v>
      </c>
      <c r="Z21">
        <v>1.9E-2</v>
      </c>
      <c r="AA21">
        <v>0.89712141811408397</v>
      </c>
      <c r="AB21">
        <v>9.3164671703219196E-2</v>
      </c>
      <c r="AC21">
        <v>9.7139101826962896E-3</v>
      </c>
      <c r="AD21">
        <v>-3.4813501221324601E-2</v>
      </c>
      <c r="AE21">
        <v>3.24954623556949E-2</v>
      </c>
      <c r="AF21">
        <v>2.3180388656297399E-3</v>
      </c>
      <c r="AG21">
        <f t="shared" si="0"/>
        <v>7.1334232461643943E-2</v>
      </c>
      <c r="AJ21">
        <v>1.9E-2</v>
      </c>
      <c r="AK21">
        <v>0.88023569433498305</v>
      </c>
      <c r="AL21">
        <v>0.108464885034771</v>
      </c>
      <c r="AM21">
        <v>1.1299420630244901E-2</v>
      </c>
      <c r="AN21">
        <v>-5.1699225000425897E-2</v>
      </c>
      <c r="AO21">
        <v>4.7795675687247498E-2</v>
      </c>
      <c r="AP21">
        <v>3.9035493131784099E-3</v>
      </c>
      <c r="AQ21">
        <f t="shared" si="1"/>
        <v>8.1671600140594464E-2</v>
      </c>
      <c r="AT21">
        <v>1.9E-2</v>
      </c>
      <c r="AU21">
        <v>0.86369378379186201</v>
      </c>
      <c r="AV21">
        <v>0.12315983375902601</v>
      </c>
      <c r="AW21">
        <v>1.3146382449111401E-2</v>
      </c>
      <c r="AX21">
        <v>-6.8241135543547105E-2</v>
      </c>
      <c r="AY21">
        <v>6.2490624411502202E-2</v>
      </c>
      <c r="AZ21">
        <v>5.75051113204492E-3</v>
      </c>
      <c r="BA21">
        <f t="shared" si="2"/>
        <v>9.2021982276535949E-2</v>
      </c>
    </row>
    <row r="22" spans="1:53" x14ac:dyDescent="0.35">
      <c r="B22">
        <v>2</v>
      </c>
      <c r="C22" s="8">
        <v>0.77856222128388242</v>
      </c>
      <c r="D22" s="8">
        <v>0.1948591533812023</v>
      </c>
      <c r="E22" s="8">
        <v>2.6578625334915382E-2</v>
      </c>
      <c r="F22">
        <f t="shared" ref="F22:F25" si="13">D22/SUM(C22:E22)</f>
        <v>0.1948591533812023</v>
      </c>
      <c r="G22">
        <f t="shared" ref="G22:G25" si="14">E22/SUM(C22:E22)</f>
        <v>2.6578625334915382E-2</v>
      </c>
      <c r="H22">
        <f t="shared" ref="H22:H25" si="15">F22-0.060669</f>
        <v>0.1341901533812023</v>
      </c>
      <c r="I22">
        <f t="shared" ref="I22:I25" si="16">G22-0.007396</f>
        <v>1.9182625334915382E-2</v>
      </c>
      <c r="J22" s="6">
        <f t="shared" ref="J22:J25" si="17">I22/H22</f>
        <v>0.1429510649743585</v>
      </c>
      <c r="K22">
        <v>4.5534384183177054E-2</v>
      </c>
      <c r="L22">
        <v>7.4890712229760903E-2</v>
      </c>
      <c r="M22">
        <v>0.107182616595213</v>
      </c>
      <c r="N22" s="3">
        <f t="shared" si="11"/>
        <v>3.836356273087556</v>
      </c>
      <c r="O22">
        <v>8.6150807472729629E-2</v>
      </c>
      <c r="P22">
        <v>0.11136885673152733</v>
      </c>
      <c r="Q22" s="3">
        <f t="shared" si="12"/>
        <v>4.2523652372442431</v>
      </c>
      <c r="T22">
        <v>4.8000000000000001E-2</v>
      </c>
      <c r="U22">
        <v>4.5534384183177054E-2</v>
      </c>
      <c r="V22">
        <f t="shared" ref="V22:V25" si="18">U22-T22</f>
        <v>-2.4656158168229469E-3</v>
      </c>
      <c r="Z22">
        <v>0.02</v>
      </c>
      <c r="AA22">
        <v>0.89530815008076703</v>
      </c>
      <c r="AB22">
        <v>9.4839507336260495E-2</v>
      </c>
      <c r="AC22">
        <v>9.8523425829722799E-3</v>
      </c>
      <c r="AD22">
        <v>-3.6626769254641901E-2</v>
      </c>
      <c r="AE22">
        <v>3.4170297988736199E-2</v>
      </c>
      <c r="AF22">
        <v>2.4564712659057302E-3</v>
      </c>
      <c r="AG22">
        <f t="shared" si="0"/>
        <v>7.1889079419660731E-2</v>
      </c>
      <c r="AJ22">
        <v>0.02</v>
      </c>
      <c r="AK22">
        <v>0.87757188366751804</v>
      </c>
      <c r="AL22">
        <v>0.110875990679789</v>
      </c>
      <c r="AM22">
        <v>1.15521256526929E-2</v>
      </c>
      <c r="AN22">
        <v>-5.4363035667891003E-2</v>
      </c>
      <c r="AO22">
        <v>5.0206781332264701E-2</v>
      </c>
      <c r="AP22">
        <v>4.1562543356263599E-3</v>
      </c>
      <c r="AQ22">
        <f t="shared" si="1"/>
        <v>8.2782728255782451E-2</v>
      </c>
      <c r="AT22">
        <v>0.02</v>
      </c>
      <c r="AU22">
        <v>0.86021618775926101</v>
      </c>
      <c r="AV22">
        <v>0.12624416857182499</v>
      </c>
      <c r="AW22">
        <v>1.35396436689122E-2</v>
      </c>
      <c r="AX22">
        <v>-7.1718731576147193E-2</v>
      </c>
      <c r="AY22">
        <v>6.5574959224301593E-2</v>
      </c>
      <c r="AZ22">
        <v>6.1437723518457197E-3</v>
      </c>
      <c r="BA22">
        <f t="shared" si="2"/>
        <v>9.369082992229881E-2</v>
      </c>
    </row>
    <row r="23" spans="1:53" x14ac:dyDescent="0.35">
      <c r="B23">
        <v>3</v>
      </c>
      <c r="C23" s="8">
        <v>0.78938343685264167</v>
      </c>
      <c r="D23" s="8">
        <v>0.1864553448429517</v>
      </c>
      <c r="E23" s="8">
        <v>2.4161218304406679E-2</v>
      </c>
      <c r="F23">
        <f t="shared" si="13"/>
        <v>0.1864553448429517</v>
      </c>
      <c r="G23">
        <f t="shared" si="14"/>
        <v>2.4161218304406679E-2</v>
      </c>
      <c r="H23">
        <f t="shared" si="15"/>
        <v>0.1257863448429517</v>
      </c>
      <c r="I23">
        <f t="shared" si="16"/>
        <v>1.6765218304406679E-2</v>
      </c>
      <c r="J23" s="6">
        <f t="shared" si="17"/>
        <v>0.13328329339197029</v>
      </c>
      <c r="K23">
        <v>4.3843577736610684E-2</v>
      </c>
      <c r="L23">
        <v>7.3304342195181199E-2</v>
      </c>
      <c r="M23">
        <v>0.10502356422667899</v>
      </c>
      <c r="N23" s="3">
        <f t="shared" si="11"/>
        <v>3.6545803864815749</v>
      </c>
      <c r="O23">
        <v>8.556552791021857E-2</v>
      </c>
      <c r="P23">
        <v>0.11019474716247837</v>
      </c>
      <c r="Q23" s="3">
        <f t="shared" si="12"/>
        <v>3.9374453161918019</v>
      </c>
      <c r="T23">
        <v>4.2999999999999997E-2</v>
      </c>
      <c r="U23">
        <v>4.3843577736610684E-2</v>
      </c>
      <c r="V23">
        <f t="shared" si="18"/>
        <v>8.4357773661068725E-4</v>
      </c>
      <c r="Z23">
        <v>2.1000000000000001E-2</v>
      </c>
      <c r="AA23">
        <v>0.89349678079374795</v>
      </c>
      <c r="AB23">
        <v>9.6510800330776705E-2</v>
      </c>
      <c r="AC23">
        <v>9.9924188754746297E-3</v>
      </c>
      <c r="AD23">
        <v>-3.8438138541660401E-2</v>
      </c>
      <c r="AE23">
        <v>3.5841590983252403E-2</v>
      </c>
      <c r="AF23">
        <v>2.59654755840807E-3</v>
      </c>
      <c r="AG23">
        <f t="shared" si="0"/>
        <v>7.2445097641490055E-2</v>
      </c>
      <c r="AJ23">
        <v>2.1000000000000001E-2</v>
      </c>
      <c r="AK23">
        <v>0.87491376578364799</v>
      </c>
      <c r="AL23">
        <v>0.11327678328791201</v>
      </c>
      <c r="AM23">
        <v>1.18094509284393E-2</v>
      </c>
      <c r="AN23">
        <v>-5.7021153551760899E-2</v>
      </c>
      <c r="AO23">
        <v>5.2607573940388098E-2</v>
      </c>
      <c r="AP23">
        <v>4.4135796113728004E-3</v>
      </c>
      <c r="AQ23">
        <f t="shared" si="1"/>
        <v>8.3896277299805103E-2</v>
      </c>
      <c r="AT23">
        <v>2.1000000000000001E-2</v>
      </c>
      <c r="AU23">
        <v>0.85674989820055403</v>
      </c>
      <c r="AV23">
        <v>0.12930854792690799</v>
      </c>
      <c r="AW23">
        <v>1.3941553872537401E-2</v>
      </c>
      <c r="AX23">
        <v>-7.5185021134854896E-2</v>
      </c>
      <c r="AY23">
        <v>6.8639338579383993E-2</v>
      </c>
      <c r="AZ23">
        <v>6.5456825554708999E-3</v>
      </c>
      <c r="BA23">
        <f t="shared" si="2"/>
        <v>9.5363427022254449E-2</v>
      </c>
    </row>
    <row r="24" spans="1:53" x14ac:dyDescent="0.35">
      <c r="B24">
        <v>4</v>
      </c>
      <c r="C24" s="8">
        <v>0.79765838032711789</v>
      </c>
      <c r="D24" s="8">
        <v>0.17909946414003031</v>
      </c>
      <c r="E24" s="8">
        <v>2.324215553285185E-2</v>
      </c>
      <c r="F24">
        <f t="shared" si="13"/>
        <v>0.17909946414003031</v>
      </c>
      <c r="G24">
        <f t="shared" si="14"/>
        <v>2.324215553285185E-2</v>
      </c>
      <c r="H24">
        <f t="shared" si="15"/>
        <v>0.11843046414003031</v>
      </c>
      <c r="I24">
        <f t="shared" si="16"/>
        <v>1.584615553285185E-2</v>
      </c>
      <c r="J24" s="6">
        <f t="shared" si="17"/>
        <v>0.13380134619852208</v>
      </c>
      <c r="K24">
        <v>4.3799842630698568E-2</v>
      </c>
      <c r="L24">
        <v>7.3304342195181199E-2</v>
      </c>
      <c r="M24">
        <v>0.10502356422667899</v>
      </c>
      <c r="N24" s="3">
        <f t="shared" si="11"/>
        <v>3.4226742982547935</v>
      </c>
      <c r="O24">
        <v>8.556552791021857E-2</v>
      </c>
      <c r="P24">
        <v>0.11019474716247837</v>
      </c>
      <c r="Q24" s="3">
        <f t="shared" si="12"/>
        <v>3.9584793896330162</v>
      </c>
      <c r="T24">
        <v>4.5999999999999999E-2</v>
      </c>
      <c r="U24">
        <v>4.3799842630698568E-2</v>
      </c>
      <c r="V24">
        <f t="shared" si="18"/>
        <v>-2.2001573693014309E-3</v>
      </c>
      <c r="Z24">
        <v>2.1999999999999999E-2</v>
      </c>
      <c r="AA24">
        <v>0.89168730977319499</v>
      </c>
      <c r="AB24">
        <v>9.8178551038410694E-2</v>
      </c>
      <c r="AC24">
        <v>1.0134139188394099E-2</v>
      </c>
      <c r="AD24">
        <v>-4.0247609562214001E-2</v>
      </c>
      <c r="AE24">
        <v>3.7509341690886502E-2</v>
      </c>
      <c r="AF24">
        <v>2.73826787132755E-3</v>
      </c>
      <c r="AG24">
        <f t="shared" si="0"/>
        <v>7.3002290839800477E-2</v>
      </c>
      <c r="AJ24">
        <v>2.1999999999999999E-2</v>
      </c>
      <c r="AK24">
        <v>0.87226133656111104</v>
      </c>
      <c r="AL24">
        <v>0.11566728193949</v>
      </c>
      <c r="AM24">
        <v>1.2071381499398799E-2</v>
      </c>
      <c r="AN24">
        <v>-5.9673582774297997E-2</v>
      </c>
      <c r="AO24">
        <v>5.4998072591965798E-2</v>
      </c>
      <c r="AP24">
        <v>4.6755101823322603E-3</v>
      </c>
      <c r="AQ24">
        <f t="shared" si="1"/>
        <v>8.5012255193380473E-2</v>
      </c>
      <c r="AT24">
        <v>2.1999999999999999E-2</v>
      </c>
      <c r="AU24">
        <v>0.853294899867726</v>
      </c>
      <c r="AV24">
        <v>0.132353044751681</v>
      </c>
      <c r="AW24">
        <v>1.4352055380591901E-2</v>
      </c>
      <c r="AX24">
        <v>-7.8640019467682704E-2</v>
      </c>
      <c r="AY24">
        <v>7.1683835404157403E-2</v>
      </c>
      <c r="AZ24">
        <v>6.9561840635253601E-3</v>
      </c>
      <c r="BA24">
        <f t="shared" si="2"/>
        <v>9.7039786226643873E-2</v>
      </c>
    </row>
    <row r="25" spans="1:53" x14ac:dyDescent="0.35">
      <c r="B25">
        <v>5</v>
      </c>
      <c r="C25" s="8">
        <v>0.77785461528351341</v>
      </c>
      <c r="D25" s="8">
        <v>0.19591267074009661</v>
      </c>
      <c r="E25" s="8">
        <v>2.623271397638987E-2</v>
      </c>
      <c r="F25">
        <f t="shared" si="13"/>
        <v>0.19591267074009666</v>
      </c>
      <c r="G25">
        <f t="shared" si="14"/>
        <v>2.6232713976389876E-2</v>
      </c>
      <c r="H25">
        <f t="shared" si="15"/>
        <v>0.13524367074009666</v>
      </c>
      <c r="I25">
        <f t="shared" si="16"/>
        <v>1.8836713976389877E-2</v>
      </c>
      <c r="J25" s="6">
        <f t="shared" si="17"/>
        <v>0.13927981896165156</v>
      </c>
      <c r="K25">
        <v>3.8264149957200982E-2</v>
      </c>
      <c r="L25">
        <v>6.3711880293989095E-2</v>
      </c>
      <c r="M25">
        <v>9.1861728254537395E-2</v>
      </c>
      <c r="N25" s="3">
        <f t="shared" si="11"/>
        <v>4.5411075237904868</v>
      </c>
      <c r="O25">
        <v>8.2080270216360357E-2</v>
      </c>
      <c r="P25">
        <v>0.10320482464148631</v>
      </c>
      <c r="Q25" s="3">
        <f t="shared" si="12"/>
        <v>4.7077280587398782</v>
      </c>
      <c r="T25" s="9">
        <v>4.65E-2</v>
      </c>
      <c r="U25" s="9">
        <v>3.8264149957200982E-2</v>
      </c>
      <c r="V25" s="6">
        <f t="shared" si="18"/>
        <v>-8.2358500427990172E-3</v>
      </c>
      <c r="W25" s="6" t="s">
        <v>27</v>
      </c>
      <c r="Z25">
        <v>2.3E-2</v>
      </c>
      <c r="AA25">
        <v>0.88987973654044805</v>
      </c>
      <c r="AB25">
        <v>9.9842759808574905E-2</v>
      </c>
      <c r="AC25">
        <v>1.02775036509765E-2</v>
      </c>
      <c r="AD25">
        <v>-4.2055182794960497E-2</v>
      </c>
      <c r="AE25">
        <v>3.9173550461050602E-2</v>
      </c>
      <c r="AF25">
        <v>2.8816323339099798E-3</v>
      </c>
      <c r="AG25">
        <f t="shared" si="0"/>
        <v>7.356066274296795E-2</v>
      </c>
      <c r="AJ25">
        <v>2.3E-2</v>
      </c>
      <c r="AK25">
        <v>0.86961459183930101</v>
      </c>
      <c r="AL25">
        <v>0.118047505738247</v>
      </c>
      <c r="AM25">
        <v>1.2337902422450701E-2</v>
      </c>
      <c r="AN25">
        <v>-6.2320327496107199E-2</v>
      </c>
      <c r="AO25">
        <v>5.7378296390722998E-2</v>
      </c>
      <c r="AP25">
        <v>4.94203110538422E-3</v>
      </c>
      <c r="AQ25">
        <f t="shared" si="1"/>
        <v>8.6130669891817391E-2</v>
      </c>
      <c r="AT25">
        <v>2.3E-2</v>
      </c>
      <c r="AU25">
        <v>0.84985117729438797</v>
      </c>
      <c r="AV25">
        <v>0.135377731991666</v>
      </c>
      <c r="AW25">
        <v>1.4771090713944701E-2</v>
      </c>
      <c r="AX25">
        <v>-8.2083742041020299E-2</v>
      </c>
      <c r="AY25">
        <v>7.4708522644142197E-2</v>
      </c>
      <c r="AZ25">
        <v>7.3752193968781897E-3</v>
      </c>
      <c r="BA25">
        <f t="shared" si="2"/>
        <v>9.8719920242680254E-2</v>
      </c>
    </row>
    <row r="26" spans="1:53" x14ac:dyDescent="0.35">
      <c r="Z26">
        <v>2.4E-2</v>
      </c>
      <c r="AA26">
        <v>0.88807406061802496</v>
      </c>
      <c r="AB26">
        <v>0.101503426988451</v>
      </c>
      <c r="AC26">
        <v>1.0422512393523001E-2</v>
      </c>
      <c r="AD26">
        <v>-4.3860858717383301E-2</v>
      </c>
      <c r="AE26">
        <v>4.0834217640926901E-2</v>
      </c>
      <c r="AF26">
        <v>3.0266410764564701E-3</v>
      </c>
      <c r="AG26">
        <f t="shared" si="0"/>
        <v>7.4120217095158925E-2</v>
      </c>
      <c r="AJ26">
        <v>2.4E-2</v>
      </c>
      <c r="AK26">
        <v>0.86697352741953004</v>
      </c>
      <c r="AL26">
        <v>0.120417473810865</v>
      </c>
      <c r="AM26">
        <v>1.26089987696046E-2</v>
      </c>
      <c r="AN26">
        <v>-6.4961391915879005E-2</v>
      </c>
      <c r="AO26">
        <v>5.9748264463340799E-2</v>
      </c>
      <c r="AP26">
        <v>5.2131274525381204E-3</v>
      </c>
      <c r="AQ26">
        <f t="shared" si="1"/>
        <v>8.7251529385204016E-2</v>
      </c>
      <c r="AT26">
        <v>2.4E-2</v>
      </c>
      <c r="AU26">
        <v>0.846418714798718</v>
      </c>
      <c r="AV26">
        <v>0.138382682606665</v>
      </c>
      <c r="AW26">
        <v>1.5198602594615701E-2</v>
      </c>
      <c r="AX26">
        <v>-8.5516204536690496E-2</v>
      </c>
      <c r="AY26">
        <v>7.7713473259141394E-2</v>
      </c>
      <c r="AZ26">
        <v>7.8027312775491896E-3</v>
      </c>
      <c r="BA26">
        <f t="shared" si="2"/>
        <v>0.10040384183486946</v>
      </c>
    </row>
    <row r="27" spans="1:53" x14ac:dyDescent="0.35">
      <c r="Z27">
        <v>2.5000000000000001E-2</v>
      </c>
      <c r="AA27">
        <v>0.88627028152961795</v>
      </c>
      <c r="AB27">
        <v>0.10316055292299101</v>
      </c>
      <c r="AC27">
        <v>1.0569165547390199E-2</v>
      </c>
      <c r="AD27">
        <v>-4.5664637805790498E-2</v>
      </c>
      <c r="AE27">
        <v>4.2491343575467001E-2</v>
      </c>
      <c r="AF27">
        <v>3.17329423032364E-3</v>
      </c>
      <c r="AG27">
        <f t="shared" si="0"/>
        <v>7.4680957656415178E-2</v>
      </c>
      <c r="AJ27">
        <v>2.5000000000000001E-2</v>
      </c>
      <c r="AK27">
        <v>0.86433813906527501</v>
      </c>
      <c r="AL27">
        <v>0.12277720530656</v>
      </c>
      <c r="AM27">
        <v>1.2884655628163599E-2</v>
      </c>
      <c r="AN27">
        <v>-6.7596780270133605E-2</v>
      </c>
      <c r="AO27">
        <v>6.2107995959036502E-2</v>
      </c>
      <c r="AP27">
        <v>5.4887843110970596E-3</v>
      </c>
      <c r="AQ27">
        <f t="shared" si="1"/>
        <v>8.8374841698598716E-2</v>
      </c>
      <c r="AT27">
        <v>2.5000000000000001E-2</v>
      </c>
      <c r="AU27">
        <v>0.842997496486383</v>
      </c>
      <c r="AV27">
        <v>0.14136796956698</v>
      </c>
      <c r="AW27">
        <v>1.56345339466363E-2</v>
      </c>
      <c r="AX27">
        <v>-8.8937422849026004E-2</v>
      </c>
      <c r="AY27">
        <v>8.0698760219456295E-2</v>
      </c>
      <c r="AZ27">
        <v>8.2386626295697998E-3</v>
      </c>
      <c r="BA27">
        <f t="shared" si="2"/>
        <v>0.10209156382533217</v>
      </c>
    </row>
    <row r="28" spans="1:53" x14ac:dyDescent="0.35">
      <c r="Z28">
        <v>2.5999999999999999E-2</v>
      </c>
      <c r="AA28">
        <v>0.88446839880009198</v>
      </c>
      <c r="AB28">
        <v>0.104814137954916</v>
      </c>
      <c r="AC28">
        <v>1.0717463244990399E-2</v>
      </c>
      <c r="AD28">
        <v>-4.7466520535316498E-2</v>
      </c>
      <c r="AE28">
        <v>4.4144928607392601E-2</v>
      </c>
      <c r="AF28">
        <v>3.3215919279238702E-3</v>
      </c>
      <c r="AG28">
        <f t="shared" si="0"/>
        <v>7.5242888202737501E-2</v>
      </c>
      <c r="AJ28">
        <v>2.5999999999999999E-2</v>
      </c>
      <c r="AK28">
        <v>0.86170842250244195</v>
      </c>
      <c r="AL28">
        <v>0.12512671939667</v>
      </c>
      <c r="AM28">
        <v>1.31648581008867E-2</v>
      </c>
      <c r="AN28">
        <v>-7.0226496832966404E-2</v>
      </c>
      <c r="AO28">
        <v>6.4457510049146294E-2</v>
      </c>
      <c r="AP28">
        <v>5.7689867838201601E-3</v>
      </c>
      <c r="AQ28">
        <f t="shared" si="1"/>
        <v>8.9500614892221816E-2</v>
      </c>
      <c r="AT28">
        <v>2.5999999999999999E-2</v>
      </c>
      <c r="AU28">
        <v>0.83958750625344503</v>
      </c>
      <c r="AV28">
        <v>0.144333665849669</v>
      </c>
      <c r="AW28">
        <v>1.6078827896885198E-2</v>
      </c>
      <c r="AX28">
        <v>-9.2347413081963703E-2</v>
      </c>
      <c r="AY28">
        <v>8.3664456502144893E-2</v>
      </c>
      <c r="AZ28">
        <v>8.6829565798187403E-3</v>
      </c>
      <c r="BA28">
        <f t="shared" si="2"/>
        <v>0.10378309909413129</v>
      </c>
    </row>
    <row r="29" spans="1:53" x14ac:dyDescent="0.35">
      <c r="Z29">
        <v>2.7E-2</v>
      </c>
      <c r="AA29">
        <v>0.88266841195548795</v>
      </c>
      <c r="AB29">
        <v>0.106464182424719</v>
      </c>
      <c r="AC29">
        <v>1.0867405619792001E-2</v>
      </c>
      <c r="AD29">
        <v>-4.9266507379921103E-2</v>
      </c>
      <c r="AE29">
        <v>4.57949730771956E-2</v>
      </c>
      <c r="AF29">
        <v>3.4715343027254902E-3</v>
      </c>
      <c r="AG29">
        <f t="shared" si="0"/>
        <v>7.5806012526169614E-2</v>
      </c>
      <c r="AJ29">
        <v>2.7E-2</v>
      </c>
      <c r="AK29">
        <v>0.85908437341961497</v>
      </c>
      <c r="AL29">
        <v>0.127466035274234</v>
      </c>
      <c r="AM29">
        <v>1.34495913061501E-2</v>
      </c>
      <c r="AN29">
        <v>-7.2850545915793596E-2</v>
      </c>
      <c r="AO29">
        <v>6.6796825926710102E-2</v>
      </c>
      <c r="AP29">
        <v>6.0537199890835502E-3</v>
      </c>
      <c r="AQ29">
        <f t="shared" si="1"/>
        <v>9.0628857061647361E-2</v>
      </c>
      <c r="AT29">
        <v>2.7E-2</v>
      </c>
      <c r="AU29">
        <v>0.83618872778925002</v>
      </c>
      <c r="AV29">
        <v>0.14727984443485001</v>
      </c>
      <c r="AW29">
        <v>1.6531427775898999E-2</v>
      </c>
      <c r="AX29">
        <v>-9.5746191546158904E-2</v>
      </c>
      <c r="AY29">
        <v>8.6610635087326401E-2</v>
      </c>
      <c r="AZ29">
        <v>9.1355564588324698E-3</v>
      </c>
      <c r="BA29">
        <f t="shared" si="2"/>
        <v>0.10547846057959759</v>
      </c>
    </row>
    <row r="30" spans="1:53" x14ac:dyDescent="0.35">
      <c r="Z30">
        <v>2.8000000000000001E-2</v>
      </c>
      <c r="AA30">
        <v>0.88087032052301795</v>
      </c>
      <c r="AB30">
        <v>0.108110686670662</v>
      </c>
      <c r="AC30">
        <v>1.10189928063196E-2</v>
      </c>
      <c r="AD30">
        <v>-5.1064598812391102E-2</v>
      </c>
      <c r="AE30">
        <v>4.7441477323137998E-2</v>
      </c>
      <c r="AF30">
        <v>3.62312148925304E-3</v>
      </c>
      <c r="AG30">
        <f t="shared" si="0"/>
        <v>7.6370334434884543E-2</v>
      </c>
      <c r="AJ30">
        <v>2.8000000000000001E-2</v>
      </c>
      <c r="AK30">
        <v>0.85646598746831104</v>
      </c>
      <c r="AL30">
        <v>0.129795172153581</v>
      </c>
      <c r="AM30">
        <v>1.37388403781066E-2</v>
      </c>
      <c r="AN30">
        <v>-7.5468931867097605E-2</v>
      </c>
      <c r="AO30">
        <v>6.9125962806057595E-2</v>
      </c>
      <c r="AP30">
        <v>6.3429690610400796E-3</v>
      </c>
      <c r="AQ30">
        <f t="shared" si="1"/>
        <v>9.1759576337998389E-2</v>
      </c>
      <c r="AT30">
        <v>2.8000000000000001E-2</v>
      </c>
      <c r="AU30">
        <v>0.832801144579291</v>
      </c>
      <c r="AV30">
        <v>0.150206578302051</v>
      </c>
      <c r="AW30">
        <v>1.69922771186574E-2</v>
      </c>
      <c r="AX30">
        <v>-9.9133774756118107E-2</v>
      </c>
      <c r="AY30">
        <v>8.9537368954527297E-2</v>
      </c>
      <c r="AZ30">
        <v>9.5964058015908706E-3</v>
      </c>
      <c r="BA30">
        <f t="shared" si="2"/>
        <v>0.10717766127866152</v>
      </c>
    </row>
    <row r="31" spans="1:53" x14ac:dyDescent="0.35">
      <c r="Z31">
        <v>2.9000000000000001E-2</v>
      </c>
      <c r="AA31">
        <v>0.87907412403106899</v>
      </c>
      <c r="AB31">
        <v>0.109753651028776</v>
      </c>
      <c r="AC31">
        <v>1.1172224940153999E-2</v>
      </c>
      <c r="AD31">
        <v>-5.2860795304340097E-2</v>
      </c>
      <c r="AE31">
        <v>4.9084441681252602E-2</v>
      </c>
      <c r="AF31">
        <v>3.77635362308754E-3</v>
      </c>
      <c r="AG31">
        <f t="shared" si="0"/>
        <v>7.6935857753270262E-2</v>
      </c>
      <c r="AJ31">
        <v>2.9000000000000001E-2</v>
      </c>
      <c r="AK31">
        <v>0.85385326026323405</v>
      </c>
      <c r="AL31">
        <v>0.13211414926992099</v>
      </c>
      <c r="AM31">
        <v>1.40325904668442E-2</v>
      </c>
      <c r="AN31">
        <v>-7.8081659072175E-2</v>
      </c>
      <c r="AO31">
        <v>7.1444939922397296E-2</v>
      </c>
      <c r="AP31">
        <v>6.63671914977766E-3</v>
      </c>
      <c r="AQ31">
        <f t="shared" si="1"/>
        <v>9.2892780888141152E-2</v>
      </c>
      <c r="AT31">
        <v>2.9000000000000001E-2</v>
      </c>
      <c r="AU31">
        <v>0.82942473990805698</v>
      </c>
      <c r="AV31">
        <v>0.15311394042659701</v>
      </c>
      <c r="AW31">
        <v>1.74613196653448E-2</v>
      </c>
      <c r="AX31">
        <v>-0.10251017942735099</v>
      </c>
      <c r="AY31">
        <v>9.2444731079073195E-2</v>
      </c>
      <c r="AZ31">
        <v>1.00654483482783E-2</v>
      </c>
      <c r="BA31">
        <f t="shared" si="2"/>
        <v>0.10888071424718358</v>
      </c>
    </row>
    <row r="32" spans="1:53" x14ac:dyDescent="0.35">
      <c r="Z32">
        <v>0.03</v>
      </c>
      <c r="AA32">
        <v>0.87727982200919996</v>
      </c>
      <c r="AB32">
        <v>0.11139307583286601</v>
      </c>
      <c r="AC32">
        <v>1.13271021579332E-2</v>
      </c>
      <c r="AD32">
        <v>-5.4655097326209198E-2</v>
      </c>
      <c r="AE32">
        <v>5.0723866485342599E-2</v>
      </c>
      <c r="AF32">
        <v>3.9312308408666497E-3</v>
      </c>
      <c r="AG32">
        <f t="shared" si="0"/>
        <v>7.7502586322015427E-2</v>
      </c>
      <c r="AJ32">
        <v>0.03</v>
      </c>
      <c r="AK32">
        <v>0.851246187382526</v>
      </c>
      <c r="AL32">
        <v>0.13442298587893001</v>
      </c>
      <c r="AM32">
        <v>1.4330826738542799E-2</v>
      </c>
      <c r="AN32">
        <v>-8.0688731952882495E-2</v>
      </c>
      <c r="AO32">
        <v>7.3753776531406301E-2</v>
      </c>
      <c r="AP32">
        <v>6.93495542147631E-3</v>
      </c>
      <c r="AQ32">
        <f t="shared" si="1"/>
        <v>9.4028478914882724E-2</v>
      </c>
      <c r="AT32">
        <v>0.03</v>
      </c>
      <c r="AU32">
        <v>0.82605949686186497</v>
      </c>
      <c r="AV32">
        <v>0.156002003776047</v>
      </c>
      <c r="AW32">
        <v>1.7938499362086999E-2</v>
      </c>
      <c r="AX32">
        <v>-0.10587542247354299</v>
      </c>
      <c r="AY32">
        <v>9.5332794428522799E-2</v>
      </c>
      <c r="AZ32">
        <v>1.05426280450205E-2</v>
      </c>
      <c r="BA32">
        <f t="shared" si="2"/>
        <v>0.11058763260029049</v>
      </c>
    </row>
    <row r="33" spans="26:53" x14ac:dyDescent="0.35">
      <c r="Z33">
        <v>3.1E-2</v>
      </c>
      <c r="AA33">
        <v>0.875487413988142</v>
      </c>
      <c r="AB33">
        <v>0.113028961414506</v>
      </c>
      <c r="AC33">
        <v>1.1483624597351499E-2</v>
      </c>
      <c r="AD33">
        <v>-5.6447505347266801E-2</v>
      </c>
      <c r="AE33">
        <v>5.2359752066981902E-2</v>
      </c>
      <c r="AF33">
        <v>4.0877532802849701E-3</v>
      </c>
      <c r="AG33">
        <f t="shared" si="0"/>
        <v>7.8070523998197278E-2</v>
      </c>
      <c r="AJ33">
        <v>3.1E-2</v>
      </c>
      <c r="AK33">
        <v>0.84864476436802205</v>
      </c>
      <c r="AL33">
        <v>0.136721701256347</v>
      </c>
      <c r="AM33">
        <v>1.46335343756304E-2</v>
      </c>
      <c r="AN33">
        <v>-8.3290154967386898E-2</v>
      </c>
      <c r="AO33">
        <v>7.60524919088231E-2</v>
      </c>
      <c r="AP33">
        <v>7.2376630585638596E-3</v>
      </c>
      <c r="AQ33">
        <f t="shared" si="1"/>
        <v>9.5166678657168297E-2</v>
      </c>
      <c r="AT33">
        <v>3.1E-2</v>
      </c>
      <c r="AU33">
        <v>0.822705398331666</v>
      </c>
      <c r="AV33">
        <v>0.15887084130666901</v>
      </c>
      <c r="AW33">
        <v>1.84237603616637E-2</v>
      </c>
      <c r="AX33">
        <v>-0.109229521003742</v>
      </c>
      <c r="AY33">
        <v>9.8201631959145302E-2</v>
      </c>
      <c r="AZ33">
        <v>1.1027889044597099E-2</v>
      </c>
      <c r="BA33">
        <f t="shared" si="2"/>
        <v>0.1122984295127093</v>
      </c>
    </row>
    <row r="34" spans="26:53" x14ac:dyDescent="0.35">
      <c r="Z34">
        <v>3.2000000000000001E-2</v>
      </c>
      <c r="AA34">
        <v>0.87369689949979901</v>
      </c>
      <c r="AB34">
        <v>0.114661308103039</v>
      </c>
      <c r="AC34">
        <v>1.1641792397160801E-2</v>
      </c>
      <c r="AD34">
        <v>-5.8238019835609597E-2</v>
      </c>
      <c r="AE34">
        <v>5.39920987555155E-2</v>
      </c>
      <c r="AF34">
        <v>4.2459210800942703E-3</v>
      </c>
      <c r="AG34">
        <f t="shared" si="0"/>
        <v>7.8639674655368585E-2</v>
      </c>
      <c r="AJ34">
        <v>3.2000000000000001E-2</v>
      </c>
      <c r="AK34">
        <v>0.846048986725497</v>
      </c>
      <c r="AL34">
        <v>0.139010314697566</v>
      </c>
      <c r="AM34">
        <v>1.49406985769369E-2</v>
      </c>
      <c r="AN34">
        <v>-8.5885932609911994E-2</v>
      </c>
      <c r="AO34">
        <v>7.8341105350041795E-2</v>
      </c>
      <c r="AP34">
        <v>7.5448272598703401E-3</v>
      </c>
      <c r="AQ34">
        <f t="shared" si="1"/>
        <v>9.6307388390280288E-2</v>
      </c>
      <c r="AT34">
        <v>3.2000000000000001E-2</v>
      </c>
      <c r="AU34">
        <v>0.81936242701583595</v>
      </c>
      <c r="AV34">
        <v>0.161720525959965</v>
      </c>
      <c r="AW34">
        <v>1.8917047024197501E-2</v>
      </c>
      <c r="AX34">
        <v>-0.112572492319572</v>
      </c>
      <c r="AY34">
        <v>0.101051316612441</v>
      </c>
      <c r="AZ34">
        <v>1.1521175707130999E-2</v>
      </c>
      <c r="BA34">
        <f t="shared" si="2"/>
        <v>0.11401311821911049</v>
      </c>
    </row>
    <row r="35" spans="26:53" x14ac:dyDescent="0.35">
      <c r="Z35">
        <v>3.3000000000000002E-2</v>
      </c>
      <c r="AA35">
        <v>0.87190827807724602</v>
      </c>
      <c r="AB35">
        <v>0.116290116225583</v>
      </c>
      <c r="AC35">
        <v>1.18016056971702E-2</v>
      </c>
      <c r="AD35">
        <v>-6.0026641258163101E-2</v>
      </c>
      <c r="AE35">
        <v>5.5620906878059401E-2</v>
      </c>
      <c r="AF35">
        <v>4.4057343801037104E-3</v>
      </c>
      <c r="AG35">
        <f t="shared" si="0"/>
        <v>7.9210042183645621E-2</v>
      </c>
      <c r="AJ35">
        <v>3.3000000000000002E-2</v>
      </c>
      <c r="AK35">
        <v>0.84345884992491904</v>
      </c>
      <c r="AL35">
        <v>0.141288845517232</v>
      </c>
      <c r="AM35">
        <v>1.5252304557847599E-2</v>
      </c>
      <c r="AN35">
        <v>-8.8476069410489397E-2</v>
      </c>
      <c r="AO35">
        <v>8.0619636169708395E-2</v>
      </c>
      <c r="AP35">
        <v>7.8564332407811202E-3</v>
      </c>
      <c r="AQ35">
        <f t="shared" si="1"/>
        <v>9.7450616426039582E-2</v>
      </c>
      <c r="AT35">
        <v>3.3000000000000002E-2</v>
      </c>
      <c r="AU35">
        <v>0.81603056542295005</v>
      </c>
      <c r="AV35">
        <v>0.16455113065922899</v>
      </c>
      <c r="AW35">
        <v>1.9418303917819901E-2</v>
      </c>
      <c r="AX35">
        <v>-0.115904353912458</v>
      </c>
      <c r="AY35">
        <v>0.103881921311705</v>
      </c>
      <c r="AZ35">
        <v>1.2022432600753301E-2</v>
      </c>
      <c r="BA35">
        <f t="shared" si="2"/>
        <v>0.11573171201444328</v>
      </c>
    </row>
    <row r="36" spans="26:53" x14ac:dyDescent="0.35">
      <c r="Z36">
        <v>3.4000000000000002E-2</v>
      </c>
      <c r="AA36">
        <v>0.87012154925472796</v>
      </c>
      <c r="AB36">
        <v>0.117915386107025</v>
      </c>
      <c r="AC36">
        <v>1.19630646382466E-2</v>
      </c>
      <c r="AD36">
        <v>-6.18133700806811E-2</v>
      </c>
      <c r="AE36">
        <v>5.7246176759501E-2</v>
      </c>
      <c r="AF36">
        <v>4.5671933211800997E-3</v>
      </c>
      <c r="AG36">
        <f t="shared" si="0"/>
        <v>7.9781630489796765E-2</v>
      </c>
      <c r="AJ36">
        <v>3.4000000000000002E-2</v>
      </c>
      <c r="AK36">
        <v>0.84087434940070105</v>
      </c>
      <c r="AL36">
        <v>0.143557313048843</v>
      </c>
      <c r="AM36">
        <v>1.55683375504551E-2</v>
      </c>
      <c r="AN36">
        <v>-9.1060569934707403E-2</v>
      </c>
      <c r="AO36">
        <v>8.2888103701318799E-2</v>
      </c>
      <c r="AP36">
        <v>8.1724662333886398E-3</v>
      </c>
      <c r="AQ36">
        <f t="shared" si="1"/>
        <v>9.8596371113007023E-2</v>
      </c>
      <c r="AT36">
        <v>3.4000000000000002E-2</v>
      </c>
      <c r="AU36">
        <v>0.81270979587453196</v>
      </c>
      <c r="AV36">
        <v>0.16736272830615501</v>
      </c>
      <c r="AW36">
        <v>1.99274758193125E-2</v>
      </c>
      <c r="AX36">
        <v>-0.11922512346087701</v>
      </c>
      <c r="AY36">
        <v>0.106693518958631</v>
      </c>
      <c r="AZ36">
        <v>1.2531604502246E-2</v>
      </c>
      <c r="BA36">
        <f t="shared" si="2"/>
        <v>0.11745422425428638</v>
      </c>
    </row>
    <row r="37" spans="26:53" x14ac:dyDescent="0.35">
      <c r="Z37">
        <v>3.5000000000000003E-2</v>
      </c>
      <c r="AA37">
        <v>0.86833671256766198</v>
      </c>
      <c r="AB37">
        <v>0.119537118070023</v>
      </c>
      <c r="AC37">
        <v>1.21261693623147E-2</v>
      </c>
      <c r="AD37">
        <v>-6.3598206767746801E-2</v>
      </c>
      <c r="AE37">
        <v>5.8867908722498703E-2</v>
      </c>
      <c r="AF37">
        <v>4.7302980452481602E-3</v>
      </c>
      <c r="AG37">
        <f t="shared" si="0"/>
        <v>8.0354443497332687E-2</v>
      </c>
      <c r="AJ37">
        <v>3.5000000000000003E-2</v>
      </c>
      <c r="AK37">
        <v>0.83829548055194603</v>
      </c>
      <c r="AL37">
        <v>0.145815736644343</v>
      </c>
      <c r="AM37">
        <v>1.5888782803709402E-2</v>
      </c>
      <c r="AN37">
        <v>-9.36394387834623E-2</v>
      </c>
      <c r="AO37">
        <v>8.5146527296819499E-2</v>
      </c>
      <c r="AP37">
        <v>8.4929114866429001E-3</v>
      </c>
      <c r="AQ37">
        <f t="shared" si="1"/>
        <v>9.974466083668615E-2</v>
      </c>
      <c r="AT37">
        <v>3.5000000000000003E-2</v>
      </c>
      <c r="AU37">
        <v>0.80940010050778599</v>
      </c>
      <c r="AV37">
        <v>0.17015539177748501</v>
      </c>
      <c r="AW37">
        <v>2.0444507714727202E-2</v>
      </c>
      <c r="AX37">
        <v>-0.122534818827622</v>
      </c>
      <c r="AY37">
        <v>0.109486182429961</v>
      </c>
      <c r="AZ37">
        <v>1.30486363976606E-2</v>
      </c>
      <c r="BA37">
        <f t="shared" si="2"/>
        <v>0.11918066835518623</v>
      </c>
    </row>
    <row r="38" spans="26:53" x14ac:dyDescent="0.35">
      <c r="Z38">
        <v>3.5999999999999997E-2</v>
      </c>
      <c r="AA38">
        <v>0.86655376755263502</v>
      </c>
      <c r="AB38">
        <v>0.121155312435007</v>
      </c>
      <c r="AC38">
        <v>1.2290920012357201E-2</v>
      </c>
      <c r="AD38">
        <v>-6.5381151782773594E-2</v>
      </c>
      <c r="AE38">
        <v>6.0486103087482902E-2</v>
      </c>
      <c r="AF38">
        <v>4.8950486952907303E-3</v>
      </c>
      <c r="AG38">
        <f t="shared" si="0"/>
        <v>8.0928485146594273E-2</v>
      </c>
      <c r="AJ38">
        <v>3.5999999999999997E-2</v>
      </c>
      <c r="AK38">
        <v>0.83572223874269902</v>
      </c>
      <c r="AL38">
        <v>0.148064135673733</v>
      </c>
      <c r="AM38">
        <v>1.62136255835672E-2</v>
      </c>
      <c r="AN38">
        <v>-9.6212680592709696E-2</v>
      </c>
      <c r="AO38">
        <v>8.7394926326208905E-2</v>
      </c>
      <c r="AP38">
        <v>8.8177542665006502E-3</v>
      </c>
      <c r="AQ38">
        <f t="shared" si="1"/>
        <v>0.1008954940197288</v>
      </c>
      <c r="AT38">
        <v>3.5999999999999997E-2</v>
      </c>
      <c r="AU38">
        <v>0.80610146127831805</v>
      </c>
      <c r="AV38">
        <v>0.172929193921699</v>
      </c>
      <c r="AW38">
        <v>2.09693447999818E-2</v>
      </c>
      <c r="AX38">
        <v>-0.12583345805709001</v>
      </c>
      <c r="AY38">
        <v>0.11225998457417501</v>
      </c>
      <c r="AZ38">
        <v>1.3573473482915301E-2</v>
      </c>
      <c r="BA38">
        <f t="shared" si="2"/>
        <v>0.12091105779501263</v>
      </c>
    </row>
    <row r="39" spans="26:53" x14ac:dyDescent="0.35">
      <c r="Z39">
        <v>3.6999999999999998E-2</v>
      </c>
      <c r="AA39">
        <v>0.86477271374740405</v>
      </c>
      <c r="AB39">
        <v>0.122769969520179</v>
      </c>
      <c r="AC39">
        <v>1.24573167324156E-2</v>
      </c>
      <c r="AD39">
        <v>-6.7162205588004203E-2</v>
      </c>
      <c r="AE39">
        <v>6.2100760172655103E-2</v>
      </c>
      <c r="AF39">
        <v>5.0614454153490602E-3</v>
      </c>
      <c r="AG39">
        <f t="shared" si="0"/>
        <v>8.1503759394845096E-2</v>
      </c>
      <c r="AJ39">
        <v>3.6999999999999998E-2</v>
      </c>
      <c r="AK39">
        <v>0.83315461930219303</v>
      </c>
      <c r="AL39">
        <v>0.150302529524666</v>
      </c>
      <c r="AM39">
        <v>1.6542851173139798E-2</v>
      </c>
      <c r="AN39">
        <v>-9.8780300033215501E-2</v>
      </c>
      <c r="AO39">
        <v>8.96333201771424E-2</v>
      </c>
      <c r="AP39">
        <v>9.1469798560732795E-3</v>
      </c>
      <c r="AQ39">
        <f t="shared" si="1"/>
        <v>0.10204887912214003</v>
      </c>
      <c r="AT39">
        <v>3.6999999999999998E-2</v>
      </c>
      <c r="AU39">
        <v>0.80281385996281995</v>
      </c>
      <c r="AV39">
        <v>0.17568420755574399</v>
      </c>
      <c r="AW39">
        <v>2.1501932481434699E-2</v>
      </c>
      <c r="AX39">
        <v>-0.129121059372588</v>
      </c>
      <c r="AY39">
        <v>0.11501499820822</v>
      </c>
      <c r="AZ39">
        <v>1.4106061164368199E-2</v>
      </c>
      <c r="BA39">
        <f t="shared" si="2"/>
        <v>0.12264540611330509</v>
      </c>
    </row>
    <row r="40" spans="26:53" x14ac:dyDescent="0.35">
      <c r="Z40">
        <v>3.7999999999999999E-2</v>
      </c>
      <c r="AA40">
        <v>0.862993550690897</v>
      </c>
      <c r="AB40">
        <v>0.124381089641513</v>
      </c>
      <c r="AC40">
        <v>1.26253596675895E-2</v>
      </c>
      <c r="AD40">
        <v>-6.8941368644512099E-2</v>
      </c>
      <c r="AE40">
        <v>6.3711880293989095E-2</v>
      </c>
      <c r="AF40">
        <v>5.2294883505230299E-3</v>
      </c>
      <c r="AG40">
        <f t="shared" si="0"/>
        <v>8.2080270216360357E-2</v>
      </c>
      <c r="AJ40">
        <v>3.7999999999999999E-2</v>
      </c>
      <c r="AK40">
        <v>0.83059261752509805</v>
      </c>
      <c r="AL40">
        <v>0.15253093760206099</v>
      </c>
      <c r="AM40">
        <v>1.6876444872839898E-2</v>
      </c>
      <c r="AN40">
        <v>-0.10134230181031</v>
      </c>
      <c r="AO40">
        <v>9.1861728254537395E-2</v>
      </c>
      <c r="AP40">
        <v>9.4805735557734003E-3</v>
      </c>
      <c r="AQ40">
        <f t="shared" si="1"/>
        <v>0.10320482464148631</v>
      </c>
      <c r="AT40">
        <v>3.7999999999999999E-2</v>
      </c>
      <c r="AU40">
        <v>0.79953727816175302</v>
      </c>
      <c r="AV40">
        <v>0.17842050546180999</v>
      </c>
      <c r="AW40">
        <v>2.20422163764359E-2</v>
      </c>
      <c r="AX40">
        <v>-0.13239764117365499</v>
      </c>
      <c r="AY40">
        <v>0.117751296114286</v>
      </c>
      <c r="AZ40">
        <v>1.46463450593694E-2</v>
      </c>
      <c r="BA40">
        <f t="shared" si="2"/>
        <v>0.12438372691162636</v>
      </c>
    </row>
    <row r="41" spans="26:53" x14ac:dyDescent="0.35">
      <c r="Z41">
        <v>3.9E-2</v>
      </c>
      <c r="AA41">
        <v>0.86121627792320699</v>
      </c>
      <c r="AB41">
        <v>0.125988673112754</v>
      </c>
      <c r="AC41">
        <v>1.27950489640379E-2</v>
      </c>
      <c r="AD41">
        <v>-7.0718641412201605E-2</v>
      </c>
      <c r="AE41">
        <v>6.5319463765230207E-2</v>
      </c>
      <c r="AF41">
        <v>5.3991776469714302E-3</v>
      </c>
      <c r="AG41">
        <f t="shared" si="0"/>
        <v>8.2658021602520143E-2</v>
      </c>
      <c r="AJ41">
        <v>3.9E-2</v>
      </c>
      <c r="AK41">
        <v>0.82803622867176696</v>
      </c>
      <c r="AL41">
        <v>0.15474937932770599</v>
      </c>
      <c r="AM41">
        <v>1.7214392000526699E-2</v>
      </c>
      <c r="AN41">
        <v>-0.103898690663642</v>
      </c>
      <c r="AO41">
        <v>9.4080169980181899E-2</v>
      </c>
      <c r="AP41">
        <v>9.8185206834601694E-3</v>
      </c>
      <c r="AQ41">
        <f t="shared" si="1"/>
        <v>0.10436333911310378</v>
      </c>
      <c r="AT41">
        <v>3.9E-2</v>
      </c>
      <c r="AU41">
        <v>0.79627169730199898</v>
      </c>
      <c r="AV41">
        <v>0.18113816038414299</v>
      </c>
      <c r="AW41">
        <v>2.2590142313857298E-2</v>
      </c>
      <c r="AX41">
        <v>-0.135663222033409</v>
      </c>
      <c r="AY41">
        <v>0.120468951036618</v>
      </c>
      <c r="AZ41">
        <v>1.51942709967908E-2</v>
      </c>
      <c r="BA41">
        <f t="shared" si="2"/>
        <v>0.12612603385392071</v>
      </c>
    </row>
    <row r="42" spans="26:53" x14ac:dyDescent="0.35">
      <c r="Z42">
        <v>0.04</v>
      </c>
      <c r="AA42">
        <v>0.85944089498560094</v>
      </c>
      <c r="AB42">
        <v>0.12759272024542001</v>
      </c>
      <c r="AC42">
        <v>1.2966384768978699E-2</v>
      </c>
      <c r="AD42">
        <v>-7.2494024349808103E-2</v>
      </c>
      <c r="AE42">
        <v>6.6923510897895805E-2</v>
      </c>
      <c r="AF42">
        <v>5.5705134519121796E-3</v>
      </c>
      <c r="AG42">
        <f t="shared" si="0"/>
        <v>8.3237017561900301E-2</v>
      </c>
      <c r="AJ42">
        <v>0.04</v>
      </c>
      <c r="AK42">
        <v>0.825485447968481</v>
      </c>
      <c r="AL42">
        <v>0.156957874139868</v>
      </c>
      <c r="AM42">
        <v>1.7556677891649799E-2</v>
      </c>
      <c r="AN42">
        <v>-0.10644947136692701</v>
      </c>
      <c r="AO42">
        <v>9.62886647923447E-2</v>
      </c>
      <c r="AP42">
        <v>1.01608065745832E-2</v>
      </c>
      <c r="AQ42">
        <f t="shared" si="1"/>
        <v>0.10552443111030678</v>
      </c>
      <c r="AT42">
        <v>0.04</v>
      </c>
      <c r="AU42">
        <v>0.79301709863949998</v>
      </c>
      <c r="AV42">
        <v>0.18383724502589899</v>
      </c>
      <c r="AW42">
        <v>2.3145656334600299E-2</v>
      </c>
      <c r="AX42">
        <v>-0.138917820695908</v>
      </c>
      <c r="AY42">
        <v>0.123168035678374</v>
      </c>
      <c r="AZ42">
        <v>1.57497850175338E-2</v>
      </c>
      <c r="BA42">
        <f t="shared" si="2"/>
        <v>0.12787234066686642</v>
      </c>
    </row>
    <row r="43" spans="26:53" x14ac:dyDescent="0.35">
      <c r="Z43">
        <v>4.1000000000000002E-2</v>
      </c>
      <c r="AA43">
        <v>0.85766740142051001</v>
      </c>
      <c r="AB43">
        <v>0.12919323134880001</v>
      </c>
      <c r="AC43">
        <v>1.3139367230689101E-2</v>
      </c>
      <c r="AD43">
        <v>-7.4267517914898204E-2</v>
      </c>
      <c r="AE43">
        <v>6.8524022001275706E-2</v>
      </c>
      <c r="AF43">
        <v>5.7434959136226302E-3</v>
      </c>
      <c r="AG43">
        <f t="shared" si="0"/>
        <v>8.3817262120365679E-2</v>
      </c>
      <c r="AJ43">
        <v>4.1000000000000002E-2</v>
      </c>
      <c r="AK43">
        <v>0.82294027060769703</v>
      </c>
      <c r="AL43">
        <v>0.15915644149291</v>
      </c>
      <c r="AM43">
        <v>1.7903287899392301E-2</v>
      </c>
      <c r="AN43">
        <v>-0.108994648727711</v>
      </c>
      <c r="AO43">
        <v>9.8487232145386197E-2</v>
      </c>
      <c r="AP43">
        <v>1.05074165823257E-2</v>
      </c>
      <c r="AQ43">
        <f t="shared" si="1"/>
        <v>0.10668810924460463</v>
      </c>
      <c r="AT43">
        <v>4.1000000000000002E-2</v>
      </c>
      <c r="AU43">
        <v>0.78977346326187503</v>
      </c>
      <c r="AV43">
        <v>0.186517832046042</v>
      </c>
      <c r="AW43">
        <v>2.37087046920826E-2</v>
      </c>
      <c r="AX43">
        <v>-0.142161456073534</v>
      </c>
      <c r="AY43">
        <v>0.12584862269851699</v>
      </c>
      <c r="AZ43">
        <v>1.63128333750161E-2</v>
      </c>
      <c r="BA43">
        <f t="shared" si="2"/>
        <v>0.12962266114024251</v>
      </c>
    </row>
    <row r="44" spans="26:53" x14ac:dyDescent="0.35">
      <c r="Z44">
        <v>4.2000000000000003E-2</v>
      </c>
      <c r="AA44">
        <v>0.85589579677153704</v>
      </c>
      <c r="AB44">
        <v>0.13079020672995501</v>
      </c>
      <c r="AC44">
        <v>1.33139964985063E-2</v>
      </c>
      <c r="AD44">
        <v>-7.6039122563871395E-2</v>
      </c>
      <c r="AE44">
        <v>7.0120997382431702E-2</v>
      </c>
      <c r="AF44">
        <v>5.9181251814397701E-3</v>
      </c>
      <c r="AG44">
        <f t="shared" si="0"/>
        <v>8.4398759321163225E-2</v>
      </c>
      <c r="AJ44">
        <v>4.2000000000000003E-2</v>
      </c>
      <c r="AK44">
        <v>0.82040069174829</v>
      </c>
      <c r="AL44">
        <v>0.16134510085689699</v>
      </c>
      <c r="AM44">
        <v>1.82542073948119E-2</v>
      </c>
      <c r="AN44">
        <v>-0.11153422758711801</v>
      </c>
      <c r="AO44">
        <v>0.10067589150937301</v>
      </c>
      <c r="AP44">
        <v>1.08583360777454E-2</v>
      </c>
      <c r="AQ44">
        <f t="shared" si="1"/>
        <v>0.10785438216590791</v>
      </c>
      <c r="AT44">
        <v>4.2000000000000003E-2</v>
      </c>
      <c r="AU44">
        <v>0.78654077209101703</v>
      </c>
      <c r="AV44">
        <v>0.189179994056278</v>
      </c>
      <c r="AW44">
        <v>2.4279233852703402E-2</v>
      </c>
      <c r="AX44">
        <v>-0.14539414724439101</v>
      </c>
      <c r="AY44">
        <v>0.12851078470875399</v>
      </c>
      <c r="AZ44">
        <v>1.6883362535636898E-2</v>
      </c>
      <c r="BA44">
        <f t="shared" si="2"/>
        <v>0.13137700912728786</v>
      </c>
    </row>
    <row r="45" spans="26:53" x14ac:dyDescent="0.35">
      <c r="Z45">
        <v>4.2999999999999997E-2</v>
      </c>
      <c r="AA45">
        <v>0.85412608058344996</v>
      </c>
      <c r="AB45">
        <v>0.13238364669372199</v>
      </c>
      <c r="AC45">
        <v>1.3490272722827001E-2</v>
      </c>
      <c r="AD45">
        <v>-7.7808838751958501E-2</v>
      </c>
      <c r="AE45">
        <v>7.1714437346197896E-2</v>
      </c>
      <c r="AF45">
        <v>6.09440140576052E-3</v>
      </c>
      <c r="AG45">
        <f t="shared" si="0"/>
        <v>8.4981513225016306E-2</v>
      </c>
      <c r="AJ45">
        <v>4.2999999999999997E-2</v>
      </c>
      <c r="AK45">
        <v>0.81786670651579896</v>
      </c>
      <c r="AL45">
        <v>0.16352387171721899</v>
      </c>
      <c r="AM45">
        <v>1.86094217669815E-2</v>
      </c>
      <c r="AN45">
        <v>-0.11406821281960999</v>
      </c>
      <c r="AO45">
        <v>0.102854662369695</v>
      </c>
      <c r="AP45">
        <v>1.1213550449915E-2</v>
      </c>
      <c r="AQ45">
        <f t="shared" si="1"/>
        <v>0.10902325856274407</v>
      </c>
      <c r="AT45">
        <v>4.2999999999999997E-2</v>
      </c>
      <c r="AU45">
        <v>0.78331900588567605</v>
      </c>
      <c r="AV45">
        <v>0.191823803618035</v>
      </c>
      <c r="AW45">
        <v>2.48571904962878E-2</v>
      </c>
      <c r="AX45">
        <v>-0.14861591344973199</v>
      </c>
      <c r="AY45">
        <v>0.13115459427051099</v>
      </c>
      <c r="AZ45">
        <v>1.74613191792213E-2</v>
      </c>
      <c r="BA45">
        <f t="shared" si="2"/>
        <v>0.13313539854506898</v>
      </c>
    </row>
    <row r="46" spans="26:53" x14ac:dyDescent="0.35">
      <c r="Z46">
        <v>4.3999999999999997E-2</v>
      </c>
      <c r="AA46">
        <v>0.85235825240218599</v>
      </c>
      <c r="AB46">
        <v>0.13397355154270499</v>
      </c>
      <c r="AC46">
        <v>1.36681960551085E-2</v>
      </c>
      <c r="AD46">
        <v>-7.95766669332231E-2</v>
      </c>
      <c r="AE46">
        <v>7.3304342195181199E-2</v>
      </c>
      <c r="AF46">
        <v>6.2723247380419896E-3</v>
      </c>
      <c r="AG46">
        <f t="shared" si="0"/>
        <v>8.556552791021857E-2</v>
      </c>
      <c r="AJ46">
        <v>4.3999999999999997E-2</v>
      </c>
      <c r="AK46">
        <v>0.81533831000266799</v>
      </c>
      <c r="AL46">
        <v>0.16569277357420301</v>
      </c>
      <c r="AM46">
        <v>1.8968916423127799E-2</v>
      </c>
      <c r="AN46">
        <v>-0.11659660933274001</v>
      </c>
      <c r="AO46">
        <v>0.10502356422667899</v>
      </c>
      <c r="AP46">
        <v>1.15730451060612E-2</v>
      </c>
      <c r="AQ46">
        <f t="shared" si="1"/>
        <v>0.11019474716247837</v>
      </c>
      <c r="AT46">
        <v>4.3999999999999997E-2</v>
      </c>
      <c r="AU46">
        <v>0.78010814524401495</v>
      </c>
      <c r="AV46">
        <v>0.194449333239474</v>
      </c>
      <c r="AW46">
        <v>2.54425215165104E-2</v>
      </c>
      <c r="AX46">
        <v>-0.151826774091394</v>
      </c>
      <c r="AY46">
        <v>0.13378012389194999</v>
      </c>
      <c r="AZ46">
        <v>1.8046650199443799E-2</v>
      </c>
      <c r="BA46">
        <f t="shared" si="2"/>
        <v>0.13489784337484628</v>
      </c>
    </row>
    <row r="47" spans="26:53" x14ac:dyDescent="0.35">
      <c r="Z47">
        <v>4.4999999999999998E-2</v>
      </c>
      <c r="AA47">
        <v>0.85059231177484595</v>
      </c>
      <c r="AB47">
        <v>0.135559921577285</v>
      </c>
      <c r="AC47">
        <v>1.3847766647868199E-2</v>
      </c>
      <c r="AD47">
        <v>-8.1342607560562594E-2</v>
      </c>
      <c r="AE47">
        <v>7.4890712229760903E-2</v>
      </c>
      <c r="AF47">
        <v>6.4518953308017298E-3</v>
      </c>
      <c r="AG47">
        <f t="shared" si="0"/>
        <v>8.6150807472729629E-2</v>
      </c>
      <c r="AJ47">
        <v>4.4999999999999998E-2</v>
      </c>
      <c r="AK47">
        <v>0.812815497268492</v>
      </c>
      <c r="AL47">
        <v>0.16785182594273701</v>
      </c>
      <c r="AM47">
        <v>1.9332676788769002E-2</v>
      </c>
      <c r="AN47">
        <v>-0.119119422066916</v>
      </c>
      <c r="AO47">
        <v>0.107182616595213</v>
      </c>
      <c r="AP47">
        <v>1.19368054717025E-2</v>
      </c>
      <c r="AQ47">
        <f t="shared" si="1"/>
        <v>0.11136885673152733</v>
      </c>
      <c r="AT47">
        <v>4.4999999999999998E-2</v>
      </c>
      <c r="AU47">
        <v>0.77690817060615003</v>
      </c>
      <c r="AV47">
        <v>0.19705665537255099</v>
      </c>
      <c r="AW47">
        <v>2.6035174021298201E-2</v>
      </c>
      <c r="AX47">
        <v>-0.15502674872925801</v>
      </c>
      <c r="AY47">
        <v>0.136387446025027</v>
      </c>
      <c r="AZ47">
        <v>1.86393027042316E-2</v>
      </c>
      <c r="BA47">
        <f t="shared" si="2"/>
        <v>0.13666435766244425</v>
      </c>
    </row>
    <row r="48" spans="26:53" x14ac:dyDescent="0.35">
      <c r="Z48">
        <v>4.5999999999999999E-2</v>
      </c>
      <c r="AA48">
        <v>0.84882825824970198</v>
      </c>
      <c r="AB48">
        <v>0.13714275709561299</v>
      </c>
      <c r="AC48">
        <v>1.4028984654684501E-2</v>
      </c>
      <c r="AD48">
        <v>-8.3106661085706898E-2</v>
      </c>
      <c r="AE48">
        <v>7.6473547748088996E-2</v>
      </c>
      <c r="AF48">
        <v>6.6331133376180199E-3</v>
      </c>
      <c r="AG48">
        <f t="shared" si="0"/>
        <v>8.6737356026270862E-2</v>
      </c>
      <c r="AJ48">
        <v>4.5999999999999999E-2</v>
      </c>
      <c r="AK48">
        <v>0.81029826334025701</v>
      </c>
      <c r="AL48">
        <v>0.17000104835189001</v>
      </c>
      <c r="AM48">
        <v>1.9700688307851499E-2</v>
      </c>
      <c r="AN48">
        <v>-0.121636655995151</v>
      </c>
      <c r="AO48">
        <v>0.10933183900436599</v>
      </c>
      <c r="AP48">
        <v>1.2304816990785001E-2</v>
      </c>
      <c r="AQ48">
        <f t="shared" si="1"/>
        <v>0.11254559607557343</v>
      </c>
      <c r="AT48">
        <v>4.5999999999999999E-2</v>
      </c>
      <c r="AU48">
        <v>0.77371906225667797</v>
      </c>
      <c r="AV48">
        <v>0.19964584241010699</v>
      </c>
      <c r="AW48">
        <v>2.6635095333213999E-2</v>
      </c>
      <c r="AX48">
        <v>-0.15821585707873101</v>
      </c>
      <c r="AY48">
        <v>0.13897663306258301</v>
      </c>
      <c r="AZ48">
        <v>1.9239224016147399E-2</v>
      </c>
      <c r="BA48">
        <f t="shared" si="2"/>
        <v>0.13843495551862825</v>
      </c>
    </row>
    <row r="49" spans="26:53" x14ac:dyDescent="0.35">
      <c r="Z49">
        <v>4.7E-2</v>
      </c>
      <c r="AA49">
        <v>0.84706609137618905</v>
      </c>
      <c r="AB49">
        <v>0.13872205839361401</v>
      </c>
      <c r="AC49">
        <v>1.4211850230196599E-2</v>
      </c>
      <c r="AD49">
        <v>-8.48688279592201E-2</v>
      </c>
      <c r="AE49">
        <v>7.8052849046090098E-2</v>
      </c>
      <c r="AF49">
        <v>6.8159789131300996E-3</v>
      </c>
      <c r="AG49">
        <f t="shared" si="0"/>
        <v>8.7325177702421514E-2</v>
      </c>
      <c r="AJ49">
        <v>4.7E-2</v>
      </c>
      <c r="AK49">
        <v>0.807786603212579</v>
      </c>
      <c r="AL49">
        <v>0.17214046034453501</v>
      </c>
      <c r="AM49">
        <v>2.0072936442884898E-2</v>
      </c>
      <c r="AN49">
        <v>-0.12414831612282901</v>
      </c>
      <c r="AO49">
        <v>0.111471250997011</v>
      </c>
      <c r="AP49">
        <v>1.26770651258183E-2</v>
      </c>
      <c r="AQ49">
        <f t="shared" si="1"/>
        <v>0.11372497403979277</v>
      </c>
      <c r="AT49">
        <v>4.7E-2</v>
      </c>
      <c r="AU49">
        <v>0.77054080032717098</v>
      </c>
      <c r="AV49">
        <v>0.20221696668300901</v>
      </c>
      <c r="AW49">
        <v>2.7242232989818801E-2</v>
      </c>
      <c r="AX49">
        <v>-0.161394119008237</v>
      </c>
      <c r="AY49">
        <v>0.141547757335485</v>
      </c>
      <c r="AZ49">
        <v>1.9846361672752201E-2</v>
      </c>
      <c r="BA49">
        <f t="shared" si="2"/>
        <v>0.14020965111947317</v>
      </c>
    </row>
    <row r="50" spans="26:53" x14ac:dyDescent="0.35">
      <c r="Z50">
        <v>4.8000000000000001E-2</v>
      </c>
      <c r="AA50">
        <v>0.84530581070490796</v>
      </c>
      <c r="AB50">
        <v>0.14029782576498601</v>
      </c>
      <c r="AC50">
        <v>1.4396363530105E-2</v>
      </c>
      <c r="AD50">
        <v>-8.6629108630500606E-2</v>
      </c>
      <c r="AE50">
        <v>7.9628616417462203E-2</v>
      </c>
      <c r="AF50">
        <v>7.0004922130384598E-3</v>
      </c>
      <c r="AG50">
        <f t="shared" si="0"/>
        <v>8.7914276650715273E-2</v>
      </c>
      <c r="AJ50">
        <v>4.8000000000000001E-2</v>
      </c>
      <c r="AK50">
        <v>0.80528051184795002</v>
      </c>
      <c r="AL50">
        <v>0.17427008147697301</v>
      </c>
      <c r="AM50">
        <v>2.0449406675075599E-2</v>
      </c>
      <c r="AN50">
        <v>-0.12665440748745799</v>
      </c>
      <c r="AO50">
        <v>0.113600872129449</v>
      </c>
      <c r="AP50">
        <v>1.30535353580091E-2</v>
      </c>
      <c r="AQ50">
        <f t="shared" si="1"/>
        <v>0.1149069995090751</v>
      </c>
      <c r="AT50">
        <v>4.8000000000000001E-2</v>
      </c>
      <c r="AU50">
        <v>0.76737336479866503</v>
      </c>
      <c r="AV50">
        <v>0.204770100457318</v>
      </c>
      <c r="AW50">
        <v>2.78565347440153E-2</v>
      </c>
      <c r="AX50">
        <v>-0.16456155453674301</v>
      </c>
      <c r="AY50">
        <v>0.14410089110979399</v>
      </c>
      <c r="AZ50">
        <v>2.0460663426948699E-2</v>
      </c>
      <c r="BA50">
        <f t="shared" si="2"/>
        <v>0.14198845870674887</v>
      </c>
    </row>
    <row r="51" spans="26:53" x14ac:dyDescent="0.35">
      <c r="Z51">
        <v>4.9000000000000002E-2</v>
      </c>
      <c r="AA51">
        <v>0.84354741578762804</v>
      </c>
      <c r="AB51">
        <v>0.14187005950119999</v>
      </c>
      <c r="AC51">
        <v>1.45825247111716E-2</v>
      </c>
      <c r="AD51">
        <v>-8.8387503547780896E-2</v>
      </c>
      <c r="AE51">
        <v>8.1200850153675799E-2</v>
      </c>
      <c r="AF51">
        <v>7.18665339410511E-3</v>
      </c>
      <c r="AG51">
        <f t="shared" si="0"/>
        <v>8.8504657038738957E-2</v>
      </c>
      <c r="AJ51">
        <v>4.9000000000000002E-2</v>
      </c>
      <c r="AK51">
        <v>0.80277998417697305</v>
      </c>
      <c r="AL51">
        <v>0.17638993131856601</v>
      </c>
      <c r="AM51">
        <v>2.0830084504460299E-2</v>
      </c>
      <c r="AN51">
        <v>-0.12915493515843601</v>
      </c>
      <c r="AO51">
        <v>0.115720721971042</v>
      </c>
      <c r="AP51">
        <v>1.34342131873937E-2</v>
      </c>
      <c r="AQ51">
        <f t="shared" si="1"/>
        <v>0.11609168140823978</v>
      </c>
      <c r="AT51">
        <v>4.9000000000000002E-2</v>
      </c>
      <c r="AU51">
        <v>0.76421673550412395</v>
      </c>
      <c r="AV51">
        <v>0.207305315931504</v>
      </c>
      <c r="AW51">
        <v>2.8477948564371601E-2</v>
      </c>
      <c r="AX51">
        <v>-0.16771818383128501</v>
      </c>
      <c r="AY51">
        <v>0.14663610658397999</v>
      </c>
      <c r="AZ51">
        <v>2.1082077247305001E-2</v>
      </c>
      <c r="BA51">
        <f t="shared" si="2"/>
        <v>0.14377139258829871</v>
      </c>
    </row>
    <row r="52" spans="26:53" x14ac:dyDescent="0.35">
      <c r="Z52">
        <v>0.05</v>
      </c>
      <c r="AA52">
        <v>0.84179090617728003</v>
      </c>
      <c r="AB52">
        <v>0.14343875989149801</v>
      </c>
      <c r="AC52">
        <v>1.4770333931220399E-2</v>
      </c>
      <c r="AD52">
        <v>-9.0144013158128394E-2</v>
      </c>
      <c r="AE52">
        <v>8.2769550543974599E-2</v>
      </c>
      <c r="AF52">
        <v>7.3744626141538502E-3</v>
      </c>
      <c r="AG52">
        <f t="shared" si="0"/>
        <v>8.9096323052230114E-2</v>
      </c>
      <c r="AJ52">
        <v>0.05</v>
      </c>
      <c r="AK52">
        <v>0.80028501509860295</v>
      </c>
      <c r="AL52">
        <v>0.17850002945136001</v>
      </c>
      <c r="AM52">
        <v>2.1214955450036401E-2</v>
      </c>
      <c r="AN52">
        <v>-0.131649904236805</v>
      </c>
      <c r="AO52">
        <v>0.117830820103835</v>
      </c>
      <c r="AP52">
        <v>1.38190841329699E-2</v>
      </c>
      <c r="AQ52">
        <f t="shared" si="1"/>
        <v>0.11727902870227189</v>
      </c>
      <c r="AT52">
        <v>0.05</v>
      </c>
      <c r="AU52">
        <v>0.76107089213087797</v>
      </c>
      <c r="AV52">
        <v>0.20982268523369499</v>
      </c>
      <c r="AW52">
        <v>2.9106422635425299E-2</v>
      </c>
      <c r="AX52">
        <v>-0.17086402720453001</v>
      </c>
      <c r="AY52">
        <v>0.14915347588617101</v>
      </c>
      <c r="AZ52">
        <v>2.1710551318358799E-2</v>
      </c>
      <c r="BA52">
        <f t="shared" si="2"/>
        <v>0.14555846713842308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citrate</vt:lpstr>
      <vt:lpstr>G3P</vt:lpstr>
      <vt:lpstr>glutamine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Ziari</dc:creator>
  <cp:lastModifiedBy>Naveed Ziari</cp:lastModifiedBy>
  <dcterms:created xsi:type="dcterms:W3CDTF">2024-12-27T04:57:11Z</dcterms:created>
  <dcterms:modified xsi:type="dcterms:W3CDTF">2025-10-13T21:38:09Z</dcterms:modified>
</cp:coreProperties>
</file>