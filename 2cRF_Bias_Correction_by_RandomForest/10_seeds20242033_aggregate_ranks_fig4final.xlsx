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toy35_pitt_edu/Documents/Isotope_Ratio_Correction/2cRF_Bias_Correction_by_RandomForest/"/>
    </mc:Choice>
  </mc:AlternateContent>
  <xr:revisionPtr revIDLastSave="2" documentId="13_ncr:1_{D2BB98E1-150E-429F-AEC9-A05B1A696BBE}" xr6:coauthVersionLast="47" xr6:coauthVersionMax="47" xr10:uidLastSave="{CA26FF76-57FF-4E7C-A6A8-311FFE109EF7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3" i="1"/>
  <c r="Q23" i="1" s="1"/>
  <c r="O23" i="1"/>
  <c r="P22" i="1"/>
  <c r="Q22" i="1" s="1"/>
  <c r="O22" i="1"/>
  <c r="P21" i="1"/>
  <c r="Q21" i="1" s="1"/>
  <c r="O21" i="1"/>
  <c r="P20" i="1"/>
  <c r="Q20" i="1" s="1"/>
  <c r="O20" i="1"/>
  <c r="P19" i="1"/>
  <c r="Q19" i="1" s="1"/>
  <c r="O19" i="1"/>
  <c r="P18" i="1"/>
  <c r="Q18" i="1" s="1"/>
  <c r="O18" i="1"/>
  <c r="P17" i="1"/>
  <c r="Q17" i="1" s="1"/>
  <c r="O17" i="1"/>
  <c r="P16" i="1"/>
  <c r="Q16" i="1" s="1"/>
  <c r="O16" i="1"/>
  <c r="P15" i="1"/>
  <c r="Q15" i="1" s="1"/>
  <c r="O15" i="1"/>
  <c r="P14" i="1"/>
  <c r="Q14" i="1" s="1"/>
  <c r="O14" i="1"/>
  <c r="P13" i="1"/>
  <c r="Q13" i="1" s="1"/>
  <c r="O13" i="1"/>
  <c r="P12" i="1"/>
  <c r="Q12" i="1" s="1"/>
  <c r="O12" i="1"/>
  <c r="P11" i="1"/>
  <c r="Q11" i="1" s="1"/>
  <c r="O11" i="1"/>
  <c r="Q10" i="1"/>
  <c r="P10" i="1"/>
  <c r="O10" i="1"/>
  <c r="Q9" i="1"/>
  <c r="P9" i="1"/>
  <c r="O9" i="1"/>
  <c r="Q8" i="1"/>
  <c r="P8" i="1"/>
  <c r="O8" i="1"/>
  <c r="P7" i="1"/>
  <c r="Q7" i="1" s="1"/>
  <c r="O7" i="1"/>
  <c r="Q6" i="1"/>
  <c r="P6" i="1"/>
  <c r="O6" i="1"/>
  <c r="P5" i="1"/>
  <c r="Q5" i="1" s="1"/>
  <c r="O5" i="1"/>
  <c r="P4" i="1"/>
  <c r="Q4" i="1" s="1"/>
  <c r="O4" i="1"/>
  <c r="P3" i="1"/>
  <c r="Q3" i="1" s="1"/>
  <c r="O3" i="1"/>
  <c r="P2" i="1"/>
  <c r="Q2" i="1" s="1"/>
</calcChain>
</file>

<file path=xl/sharedStrings.xml><?xml version="1.0" encoding="utf-8"?>
<sst xmlns="http://schemas.openxmlformats.org/spreadsheetml/2006/main" count="50" uniqueCount="48">
  <si>
    <t>figure_name</t>
  </si>
  <si>
    <t>average</t>
  </si>
  <si>
    <t>stdev</t>
  </si>
  <si>
    <t>stdev %</t>
  </si>
  <si>
    <t>intensity_over_TIC_group</t>
  </si>
  <si>
    <t>Signal Intensity / TIC</t>
  </si>
  <si>
    <t>mn_intensity_group</t>
  </si>
  <si>
    <t>Signal Intensity</t>
  </si>
  <si>
    <t>mz_to_center</t>
  </si>
  <si>
    <t>m/z Differnce of Target Isotopologues and Method Center (absolute value)</t>
  </si>
  <si>
    <t>mn_mz</t>
  </si>
  <si>
    <t>m/z of Target Isotopologues</t>
  </si>
  <si>
    <t>mn</t>
  </si>
  <si>
    <t>Mass Shift State of Target Isotopologues (M0, M1, or M2)</t>
  </si>
  <si>
    <t>mplus1_intensity</t>
  </si>
  <si>
    <t>Signal Intensity of +1 amu Isotopologues</t>
  </si>
  <si>
    <t>reference_mz</t>
  </si>
  <si>
    <t>m/z of the M0 state of the Target Isotopologues</t>
  </si>
  <si>
    <t>C</t>
  </si>
  <si>
    <t># C Atoms</t>
  </si>
  <si>
    <t>mn_to_mplus1_intensity</t>
  </si>
  <si>
    <t>Signal Intensity of Unrelated Ions (between Target to +1 amu Isotopologues)</t>
  </si>
  <si>
    <t>mnminus1_to_mn_intensity</t>
  </si>
  <si>
    <t>Signal Intensity of Unrelated Ions (between -1 amu to Target Isotopologues)</t>
  </si>
  <si>
    <t>O</t>
  </si>
  <si>
    <t># O Atoms</t>
  </si>
  <si>
    <t>atom_number</t>
  </si>
  <si>
    <t># of Total Atoms</t>
  </si>
  <si>
    <t>mn_baseline</t>
  </si>
  <si>
    <t>Background Intensity</t>
  </si>
  <si>
    <t>slice_rt</t>
  </si>
  <si>
    <t>Rentention Time of the Slice</t>
  </si>
  <si>
    <t>mn_noise</t>
  </si>
  <si>
    <t>Noise Intensity</t>
  </si>
  <si>
    <t>total_ion_group</t>
  </si>
  <si>
    <t>TIC</t>
  </si>
  <si>
    <t>intensity_over_bg</t>
  </si>
  <si>
    <t>Signal Intensity / Background Intensity</t>
  </si>
  <si>
    <t>N</t>
  </si>
  <si>
    <t># N Atoms</t>
  </si>
  <si>
    <t>intensity_over_ns</t>
  </si>
  <si>
    <t>Signal Intensity / Noise Intensity</t>
  </si>
  <si>
    <t>H</t>
  </si>
  <si>
    <t># H Atoms</t>
  </si>
  <si>
    <t>S</t>
  </si>
  <si>
    <t># S Atoms</t>
  </si>
  <si>
    <t>P</t>
  </si>
  <si>
    <t># P Atoms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</si>
</sst>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"/>
  <sheetViews>
    <sheetView tabSelected="1" topLeftCell="B1" workbookViewId="0">
      <selection activeCell="O3" sqref="O3"/>
    </sheetView>
  </sheetViews>
  <sheetFormatPr defaultColWidth="12.6328125" defaultRowHeight="15.75" customHeight="1" x14ac:dyDescent="0.25"/>
  <cols>
    <col min="1" max="1" width="25.453125" customWidth="1"/>
    <col min="2" max="2" width="47.7265625" customWidth="1"/>
  </cols>
  <sheetData>
    <row r="1" spans="1:17" ht="15.75" customHeight="1" x14ac:dyDescent="0.25">
      <c r="B1" s="1" t="s">
        <v>0</v>
      </c>
      <c r="C1" s="1" t="s">
        <v>1</v>
      </c>
      <c r="D1" s="1" t="s">
        <v>2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 t="s">
        <v>1</v>
      </c>
      <c r="P1" s="1" t="s">
        <v>3</v>
      </c>
      <c r="Q1" s="1" t="s">
        <v>2</v>
      </c>
    </row>
    <row r="2" spans="1:17" ht="15.75" customHeight="1" x14ac:dyDescent="0.35">
      <c r="A2" s="2" t="s">
        <v>4</v>
      </c>
      <c r="B2" s="3" t="s">
        <v>5</v>
      </c>
      <c r="C2" s="4">
        <v>0.56657999999999997</v>
      </c>
      <c r="D2" s="4">
        <v>7.2458110503778109E-3</v>
      </c>
      <c r="E2" s="4">
        <v>57.71</v>
      </c>
      <c r="F2" s="4">
        <v>56.21</v>
      </c>
      <c r="G2" s="4">
        <v>57.23</v>
      </c>
      <c r="H2" s="4">
        <v>57.12</v>
      </c>
      <c r="I2" s="4">
        <v>56.22</v>
      </c>
      <c r="J2" s="4">
        <v>57.37</v>
      </c>
      <c r="K2" s="4">
        <v>56.23</v>
      </c>
      <c r="L2" s="4">
        <v>56.69</v>
      </c>
      <c r="M2" s="4">
        <v>56.55</v>
      </c>
      <c r="N2" s="4">
        <v>55.25</v>
      </c>
      <c r="O2" s="1">
        <f>AVERAGE(E2:N2)/100</f>
        <v>0.56657999999999997</v>
      </c>
      <c r="P2" s="1">
        <f t="shared" ref="P2:P23" si="0">STDEV(E2:N2)</f>
        <v>0.72458110503778472</v>
      </c>
      <c r="Q2" s="1">
        <f t="shared" ref="Q2:Q23" si="1">P2/100</f>
        <v>7.2458110503778473E-3</v>
      </c>
    </row>
    <row r="3" spans="1:17" ht="15.75" customHeight="1" x14ac:dyDescent="0.35">
      <c r="A3" s="2" t="s">
        <v>6</v>
      </c>
      <c r="B3" s="3" t="s">
        <v>7</v>
      </c>
      <c r="C3" s="4">
        <v>0.12371999999999998</v>
      </c>
      <c r="D3" s="4">
        <v>7.5077441500241756E-3</v>
      </c>
      <c r="E3" s="4">
        <v>11.64</v>
      </c>
      <c r="F3" s="4">
        <v>12.56</v>
      </c>
      <c r="G3" s="4">
        <v>12.4</v>
      </c>
      <c r="H3" s="4">
        <v>13.48</v>
      </c>
      <c r="I3" s="4">
        <v>11.99</v>
      </c>
      <c r="J3" s="4">
        <v>12.15</v>
      </c>
      <c r="K3" s="4">
        <v>12.05</v>
      </c>
      <c r="L3" s="4">
        <v>11.71</v>
      </c>
      <c r="M3" s="4">
        <v>11.86</v>
      </c>
      <c r="N3" s="4">
        <v>13.88</v>
      </c>
      <c r="O3" s="1">
        <f t="shared" ref="O2:O23" si="2">AVERAGE(E3:N3)/100</f>
        <v>0.12371999999999998</v>
      </c>
      <c r="P3" s="1">
        <f t="shared" si="0"/>
        <v>0.75077441500241759</v>
      </c>
      <c r="Q3" s="1">
        <f t="shared" si="1"/>
        <v>7.5077441500241756E-3</v>
      </c>
    </row>
    <row r="4" spans="1:17" ht="15.75" customHeight="1" x14ac:dyDescent="0.35">
      <c r="A4" s="2" t="s">
        <v>8</v>
      </c>
      <c r="B4" s="3" t="s">
        <v>9</v>
      </c>
      <c r="C4" s="4">
        <v>7.6310000000000003E-2</v>
      </c>
      <c r="D4" s="4">
        <v>6.8212820561012518E-3</v>
      </c>
      <c r="E4" s="4">
        <v>7.84</v>
      </c>
      <c r="F4" s="4">
        <v>8.33</v>
      </c>
      <c r="G4" s="4">
        <v>6.88</v>
      </c>
      <c r="H4" s="4">
        <v>6.22</v>
      </c>
      <c r="I4" s="4">
        <v>8.5500000000000007</v>
      </c>
      <c r="J4" s="4">
        <v>7.65</v>
      </c>
      <c r="K4" s="4">
        <v>7.94</v>
      </c>
      <c r="L4" s="4">
        <v>7.96</v>
      </c>
      <c r="M4" s="4">
        <v>7.47</v>
      </c>
      <c r="N4" s="4">
        <v>7.47</v>
      </c>
      <c r="O4" s="1">
        <f t="shared" si="2"/>
        <v>7.6310000000000003E-2</v>
      </c>
      <c r="P4" s="1">
        <f t="shared" si="0"/>
        <v>0.6821282056101251</v>
      </c>
      <c r="Q4" s="1">
        <f t="shared" si="1"/>
        <v>6.8212820561012509E-3</v>
      </c>
    </row>
    <row r="5" spans="1:17" ht="15.75" customHeight="1" x14ac:dyDescent="0.35">
      <c r="A5" s="5" t="s">
        <v>10</v>
      </c>
      <c r="B5" s="3" t="s">
        <v>11</v>
      </c>
      <c r="C5" s="4">
        <v>6.7349999999999993E-2</v>
      </c>
      <c r="D5" s="4">
        <v>4.054421454823526E-3</v>
      </c>
      <c r="E5" s="4">
        <v>6.25</v>
      </c>
      <c r="F5" s="4">
        <v>6.37</v>
      </c>
      <c r="G5" s="4">
        <v>6.93</v>
      </c>
      <c r="H5" s="4">
        <v>6.52</v>
      </c>
      <c r="I5" s="4">
        <v>6.98</v>
      </c>
      <c r="J5" s="4">
        <v>6.28</v>
      </c>
      <c r="K5" s="4">
        <v>6.97</v>
      </c>
      <c r="L5" s="4">
        <v>7.57</v>
      </c>
      <c r="M5" s="4">
        <v>6.8</v>
      </c>
      <c r="N5" s="4">
        <v>6.68</v>
      </c>
      <c r="O5" s="1">
        <f t="shared" si="2"/>
        <v>6.7349999999999993E-2</v>
      </c>
      <c r="P5" s="1">
        <f t="shared" si="0"/>
        <v>0.40544214548235291</v>
      </c>
      <c r="Q5" s="1">
        <f t="shared" si="1"/>
        <v>4.0544214548235294E-3</v>
      </c>
    </row>
    <row r="6" spans="1:17" ht="15.75" customHeight="1" x14ac:dyDescent="0.35">
      <c r="A6" s="5" t="s">
        <v>12</v>
      </c>
      <c r="B6" s="3" t="s">
        <v>13</v>
      </c>
      <c r="C6" s="4">
        <v>2.5919999999999995E-2</v>
      </c>
      <c r="D6" s="4">
        <v>9.2951600308978073E-4</v>
      </c>
      <c r="E6" s="4">
        <v>2.42</v>
      </c>
      <c r="F6" s="4">
        <v>2.6</v>
      </c>
      <c r="G6" s="4">
        <v>2.5499999999999998</v>
      </c>
      <c r="H6" s="4">
        <v>2.61</v>
      </c>
      <c r="I6" s="4">
        <v>2.54</v>
      </c>
      <c r="J6" s="4">
        <v>2.64</v>
      </c>
      <c r="K6" s="4">
        <v>2.57</v>
      </c>
      <c r="L6" s="4">
        <v>2.54</v>
      </c>
      <c r="M6" s="4">
        <v>2.76</v>
      </c>
      <c r="N6" s="4">
        <v>2.69</v>
      </c>
      <c r="O6" s="1">
        <f t="shared" si="2"/>
        <v>2.5919999999999995E-2</v>
      </c>
      <c r="P6" s="1">
        <f t="shared" si="0"/>
        <v>9.2951600308977991E-2</v>
      </c>
      <c r="Q6" s="1">
        <f t="shared" si="1"/>
        <v>9.2951600308977987E-4</v>
      </c>
    </row>
    <row r="7" spans="1:17" ht="15.75" customHeight="1" x14ac:dyDescent="0.35">
      <c r="A7" s="2" t="s">
        <v>14</v>
      </c>
      <c r="B7" s="3" t="s">
        <v>15</v>
      </c>
      <c r="C7" s="4">
        <v>2.283E-2</v>
      </c>
      <c r="D7" s="4">
        <v>1.9026589581717251E-3</v>
      </c>
      <c r="E7" s="4">
        <v>2.41</v>
      </c>
      <c r="F7" s="4">
        <v>2.06</v>
      </c>
      <c r="G7" s="4">
        <v>2.4300000000000002</v>
      </c>
      <c r="H7" s="4">
        <v>2.0699999999999998</v>
      </c>
      <c r="I7" s="4">
        <v>2.4900000000000002</v>
      </c>
      <c r="J7" s="4">
        <v>2.31</v>
      </c>
      <c r="K7" s="4">
        <v>2.41</v>
      </c>
      <c r="L7" s="4">
        <v>1.97</v>
      </c>
      <c r="M7" s="4">
        <v>2.46</v>
      </c>
      <c r="N7" s="4">
        <v>2.2200000000000002</v>
      </c>
      <c r="O7" s="1">
        <f t="shared" si="2"/>
        <v>2.283E-2</v>
      </c>
      <c r="P7" s="1">
        <f t="shared" si="0"/>
        <v>0.19026589581717249</v>
      </c>
      <c r="Q7" s="1">
        <f t="shared" si="1"/>
        <v>1.9026589581717249E-3</v>
      </c>
    </row>
    <row r="8" spans="1:17" ht="15.75" customHeight="1" x14ac:dyDescent="0.35">
      <c r="A8" s="2" t="s">
        <v>16</v>
      </c>
      <c r="B8" s="3" t="s">
        <v>17</v>
      </c>
      <c r="C8" s="4">
        <v>1.9739999999999997E-2</v>
      </c>
      <c r="D8" s="4">
        <v>5.3374983736661618E-4</v>
      </c>
      <c r="E8" s="4">
        <v>1.89</v>
      </c>
      <c r="F8" s="4">
        <v>2.0499999999999998</v>
      </c>
      <c r="G8" s="4">
        <v>2.04</v>
      </c>
      <c r="H8" s="4">
        <v>2</v>
      </c>
      <c r="I8" s="4">
        <v>1.91</v>
      </c>
      <c r="J8" s="4">
        <v>1.97</v>
      </c>
      <c r="K8" s="4">
        <v>1.94</v>
      </c>
      <c r="L8" s="4">
        <v>1.94</v>
      </c>
      <c r="M8" s="4">
        <v>2</v>
      </c>
      <c r="N8" s="4">
        <v>2</v>
      </c>
      <c r="O8" s="1">
        <f t="shared" si="2"/>
        <v>1.9739999999999997E-2</v>
      </c>
      <c r="P8" s="1">
        <f t="shared" si="0"/>
        <v>5.3374983736661601E-2</v>
      </c>
      <c r="Q8" s="1">
        <f t="shared" si="1"/>
        <v>5.3374983736661596E-4</v>
      </c>
    </row>
    <row r="9" spans="1:17" ht="15.75" customHeight="1" x14ac:dyDescent="0.35">
      <c r="A9" s="2" t="s">
        <v>18</v>
      </c>
      <c r="B9" s="3" t="s">
        <v>19</v>
      </c>
      <c r="C9" s="4">
        <v>1.6190000000000003E-2</v>
      </c>
      <c r="D9" s="4">
        <v>1.591260855771646E-3</v>
      </c>
      <c r="E9" s="4">
        <v>1.7</v>
      </c>
      <c r="F9" s="4">
        <v>1.61</v>
      </c>
      <c r="G9" s="4">
        <v>1.51</v>
      </c>
      <c r="H9" s="4">
        <v>1.83</v>
      </c>
      <c r="I9" s="4">
        <v>1.53</v>
      </c>
      <c r="J9" s="4">
        <v>1.48</v>
      </c>
      <c r="K9" s="4">
        <v>1.91</v>
      </c>
      <c r="L9" s="4">
        <v>1.48</v>
      </c>
      <c r="M9" s="4">
        <v>1.69</v>
      </c>
      <c r="N9" s="4">
        <v>1.45</v>
      </c>
      <c r="O9" s="1">
        <f t="shared" si="2"/>
        <v>1.6190000000000003E-2</v>
      </c>
      <c r="P9" s="1">
        <f t="shared" si="0"/>
        <v>0.15912608557716459</v>
      </c>
      <c r="Q9" s="1">
        <f t="shared" si="1"/>
        <v>1.591260855771646E-3</v>
      </c>
    </row>
    <row r="10" spans="1:17" ht="15.75" customHeight="1" x14ac:dyDescent="0.35">
      <c r="A10" s="2" t="s">
        <v>20</v>
      </c>
      <c r="B10" s="3" t="s">
        <v>21</v>
      </c>
      <c r="C10" s="4">
        <v>1.1979999999999999E-2</v>
      </c>
      <c r="D10" s="4">
        <v>7.1460945044595316E-4</v>
      </c>
      <c r="E10" s="4">
        <v>1.17</v>
      </c>
      <c r="F10" s="4">
        <v>1.23</v>
      </c>
      <c r="G10" s="4">
        <v>1.21</v>
      </c>
      <c r="H10" s="4">
        <v>1.26</v>
      </c>
      <c r="I10" s="4">
        <v>1.28</v>
      </c>
      <c r="J10" s="4">
        <v>1.19</v>
      </c>
      <c r="K10" s="4">
        <v>1.21</v>
      </c>
      <c r="L10" s="4">
        <v>1.03</v>
      </c>
      <c r="M10" s="4">
        <v>1.1499999999999999</v>
      </c>
      <c r="N10" s="4">
        <v>1.25</v>
      </c>
      <c r="O10" s="1">
        <f t="shared" si="2"/>
        <v>1.1979999999999999E-2</v>
      </c>
      <c r="P10" s="1">
        <f t="shared" si="0"/>
        <v>7.1460945044595284E-2</v>
      </c>
      <c r="Q10" s="1">
        <f t="shared" si="1"/>
        <v>7.1460945044595284E-4</v>
      </c>
    </row>
    <row r="11" spans="1:17" ht="15.75" customHeight="1" x14ac:dyDescent="0.35">
      <c r="A11" s="2" t="s">
        <v>22</v>
      </c>
      <c r="B11" s="3" t="s">
        <v>23</v>
      </c>
      <c r="C11" s="4">
        <v>1.0310000000000001E-2</v>
      </c>
      <c r="D11" s="4">
        <v>1.1551334699216938E-3</v>
      </c>
      <c r="E11" s="4">
        <v>0.94</v>
      </c>
      <c r="F11" s="4">
        <v>1</v>
      </c>
      <c r="G11" s="4">
        <v>1.01</v>
      </c>
      <c r="H11" s="4">
        <v>1.19</v>
      </c>
      <c r="I11" s="4">
        <v>0.87</v>
      </c>
      <c r="J11" s="4">
        <v>1.1599999999999999</v>
      </c>
      <c r="K11" s="4">
        <v>0.94</v>
      </c>
      <c r="L11" s="4">
        <v>0.93</v>
      </c>
      <c r="M11" s="4">
        <v>1.17</v>
      </c>
      <c r="N11" s="4">
        <v>1.1000000000000001</v>
      </c>
      <c r="O11" s="1">
        <f t="shared" si="2"/>
        <v>1.0310000000000001E-2</v>
      </c>
      <c r="P11" s="1">
        <f t="shared" si="0"/>
        <v>0.1155133469921691</v>
      </c>
      <c r="Q11" s="1">
        <f t="shared" si="1"/>
        <v>1.155133469921691E-3</v>
      </c>
    </row>
    <row r="12" spans="1:17" ht="15.75" customHeight="1" x14ac:dyDescent="0.35">
      <c r="A12" s="2" t="s">
        <v>24</v>
      </c>
      <c r="B12" s="3" t="s">
        <v>25</v>
      </c>
      <c r="C12" s="4">
        <v>9.6900000000000007E-3</v>
      </c>
      <c r="D12" s="4">
        <v>1.26442784601486E-3</v>
      </c>
      <c r="E12" s="4">
        <v>0.9</v>
      </c>
      <c r="F12" s="4">
        <v>0.92</v>
      </c>
      <c r="G12" s="4">
        <v>1.0900000000000001</v>
      </c>
      <c r="H12" s="4">
        <v>0.84</v>
      </c>
      <c r="I12" s="4">
        <v>0.75</v>
      </c>
      <c r="J12" s="4">
        <v>1.04</v>
      </c>
      <c r="K12" s="4">
        <v>1.1100000000000001</v>
      </c>
      <c r="L12" s="4">
        <v>1.08</v>
      </c>
      <c r="M12" s="4">
        <v>1.08</v>
      </c>
      <c r="N12" s="4">
        <v>0.88</v>
      </c>
      <c r="O12" s="1">
        <f t="shared" si="2"/>
        <v>9.6900000000000007E-3</v>
      </c>
      <c r="P12" s="1">
        <f t="shared" si="0"/>
        <v>0.12644278460148553</v>
      </c>
      <c r="Q12" s="1">
        <f t="shared" si="1"/>
        <v>1.2644278460148552E-3</v>
      </c>
    </row>
    <row r="13" spans="1:17" ht="15.75" customHeight="1" x14ac:dyDescent="0.35">
      <c r="A13" s="2" t="s">
        <v>26</v>
      </c>
      <c r="B13" s="3" t="s">
        <v>27</v>
      </c>
      <c r="C13" s="4">
        <v>7.4899999999999993E-3</v>
      </c>
      <c r="D13" s="4">
        <v>3.842742076521227E-4</v>
      </c>
      <c r="E13" s="4">
        <v>0.77</v>
      </c>
      <c r="F13" s="4">
        <v>0.74</v>
      </c>
      <c r="G13" s="4">
        <v>0.75</v>
      </c>
      <c r="H13" s="4">
        <v>0.71</v>
      </c>
      <c r="I13" s="4">
        <v>0.83</v>
      </c>
      <c r="J13" s="4">
        <v>0.69</v>
      </c>
      <c r="K13" s="4">
        <v>0.76</v>
      </c>
      <c r="L13" s="4">
        <v>0.76</v>
      </c>
      <c r="M13" s="4">
        <v>0.76</v>
      </c>
      <c r="N13" s="4">
        <v>0.72</v>
      </c>
      <c r="O13" s="1">
        <f t="shared" si="2"/>
        <v>7.4899999999999993E-3</v>
      </c>
      <c r="P13" s="1">
        <f t="shared" si="0"/>
        <v>3.8427420765212272E-2</v>
      </c>
      <c r="Q13" s="1">
        <f t="shared" si="1"/>
        <v>3.842742076521227E-4</v>
      </c>
    </row>
    <row r="14" spans="1:17" ht="15.75" customHeight="1" x14ac:dyDescent="0.35">
      <c r="A14" s="2" t="s">
        <v>28</v>
      </c>
      <c r="B14" s="3" t="s">
        <v>29</v>
      </c>
      <c r="C14" s="4">
        <v>7.1999999999999998E-3</v>
      </c>
      <c r="D14" s="4">
        <v>1.1518101695447331E-3</v>
      </c>
      <c r="E14" s="4">
        <v>0.67</v>
      </c>
      <c r="F14" s="4">
        <v>0.89</v>
      </c>
      <c r="G14" s="4">
        <v>0.59</v>
      </c>
      <c r="H14" s="4">
        <v>0.67</v>
      </c>
      <c r="I14" s="4">
        <v>0.67</v>
      </c>
      <c r="J14" s="4">
        <v>0.88</v>
      </c>
      <c r="K14" s="4">
        <v>0.57999999999999996</v>
      </c>
      <c r="L14" s="4">
        <v>0.81</v>
      </c>
      <c r="M14" s="4">
        <v>0.8</v>
      </c>
      <c r="N14" s="4">
        <v>0.64</v>
      </c>
      <c r="O14" s="1">
        <f t="shared" si="2"/>
        <v>7.1999999999999998E-3</v>
      </c>
      <c r="P14" s="1">
        <f t="shared" si="0"/>
        <v>0.11518101695447404</v>
      </c>
      <c r="Q14" s="1">
        <f t="shared" si="1"/>
        <v>1.1518101695447403E-3</v>
      </c>
    </row>
    <row r="15" spans="1:17" ht="15.75" customHeight="1" x14ac:dyDescent="0.35">
      <c r="A15" s="2" t="s">
        <v>30</v>
      </c>
      <c r="B15" s="3" t="s">
        <v>31</v>
      </c>
      <c r="C15" s="4">
        <v>6.7800000000000004E-3</v>
      </c>
      <c r="D15" s="4">
        <v>4.7328638264796925E-4</v>
      </c>
      <c r="E15" s="4">
        <v>0.72</v>
      </c>
      <c r="F15" s="4">
        <v>0.67</v>
      </c>
      <c r="G15" s="4">
        <v>0.63</v>
      </c>
      <c r="H15" s="4">
        <v>0.67</v>
      </c>
      <c r="I15" s="4">
        <v>0.67</v>
      </c>
      <c r="J15" s="4">
        <v>0.66</v>
      </c>
      <c r="K15" s="4">
        <v>0.67</v>
      </c>
      <c r="L15" s="4">
        <v>0.7</v>
      </c>
      <c r="M15" s="4">
        <v>0.61</v>
      </c>
      <c r="N15" s="4">
        <v>0.78</v>
      </c>
      <c r="O15" s="1">
        <f t="shared" si="2"/>
        <v>6.7800000000000004E-3</v>
      </c>
      <c r="P15" s="1">
        <f t="shared" si="0"/>
        <v>4.7328638264796927E-2</v>
      </c>
      <c r="Q15" s="1">
        <f t="shared" si="1"/>
        <v>4.7328638264796925E-4</v>
      </c>
    </row>
    <row r="16" spans="1:17" ht="15.75" customHeight="1" x14ac:dyDescent="0.35">
      <c r="A16" s="2" t="s">
        <v>32</v>
      </c>
      <c r="B16" s="3" t="s">
        <v>33</v>
      </c>
      <c r="C16" s="4">
        <v>6.1199999999999996E-3</v>
      </c>
      <c r="D16" s="4">
        <v>9.7616027827856654E-4</v>
      </c>
      <c r="E16" s="4">
        <v>0.79</v>
      </c>
      <c r="F16" s="4">
        <v>0.54</v>
      </c>
      <c r="G16" s="4">
        <v>0.56000000000000005</v>
      </c>
      <c r="H16" s="4">
        <v>0.73</v>
      </c>
      <c r="I16" s="4">
        <v>0.64</v>
      </c>
      <c r="J16" s="4">
        <v>0.56999999999999995</v>
      </c>
      <c r="K16" s="4">
        <v>0.6</v>
      </c>
      <c r="L16" s="4">
        <v>0.45</v>
      </c>
      <c r="M16" s="4">
        <v>0.66</v>
      </c>
      <c r="N16" s="4">
        <v>0.57999999999999996</v>
      </c>
      <c r="O16" s="1">
        <f t="shared" si="2"/>
        <v>6.1199999999999996E-3</v>
      </c>
      <c r="P16" s="1">
        <f t="shared" si="0"/>
        <v>9.7616027827856708E-2</v>
      </c>
      <c r="Q16" s="1">
        <f t="shared" si="1"/>
        <v>9.7616027827856708E-4</v>
      </c>
    </row>
    <row r="17" spans="1:17" ht="15.75" customHeight="1" x14ac:dyDescent="0.35">
      <c r="A17" s="2" t="s">
        <v>34</v>
      </c>
      <c r="B17" s="3" t="s">
        <v>35</v>
      </c>
      <c r="C17" s="4">
        <v>5.3300000000000005E-3</v>
      </c>
      <c r="D17" s="4">
        <v>4.0838435055444715E-4</v>
      </c>
      <c r="E17" s="4">
        <v>0.54</v>
      </c>
      <c r="F17" s="4">
        <v>0.51</v>
      </c>
      <c r="G17" s="4">
        <v>0.5</v>
      </c>
      <c r="H17" s="4">
        <v>0.52</v>
      </c>
      <c r="I17" s="4">
        <v>0.55000000000000004</v>
      </c>
      <c r="J17" s="4">
        <v>0.56999999999999995</v>
      </c>
      <c r="K17" s="4">
        <v>0.54</v>
      </c>
      <c r="L17" s="4">
        <v>0.48</v>
      </c>
      <c r="M17" s="4">
        <v>0.5</v>
      </c>
      <c r="N17" s="4">
        <v>0.62</v>
      </c>
      <c r="O17" s="1">
        <f t="shared" si="2"/>
        <v>5.3300000000000005E-3</v>
      </c>
      <c r="P17" s="1">
        <f t="shared" si="0"/>
        <v>4.0838435055444738E-2</v>
      </c>
      <c r="Q17" s="1">
        <f t="shared" si="1"/>
        <v>4.0838435055444737E-4</v>
      </c>
    </row>
    <row r="18" spans="1:17" ht="15.75" customHeight="1" x14ac:dyDescent="0.35">
      <c r="A18" s="2" t="s">
        <v>36</v>
      </c>
      <c r="B18" s="3" t="s">
        <v>37</v>
      </c>
      <c r="C18" s="4">
        <v>4.5200000000000006E-3</v>
      </c>
      <c r="D18" s="4">
        <v>4.3919117578668281E-4</v>
      </c>
      <c r="E18" s="4">
        <v>0.44</v>
      </c>
      <c r="F18" s="4">
        <v>0.47</v>
      </c>
      <c r="G18" s="4">
        <v>0.47</v>
      </c>
      <c r="H18" s="4">
        <v>0.43</v>
      </c>
      <c r="I18" s="4">
        <v>0.45</v>
      </c>
      <c r="J18" s="4">
        <v>0.5</v>
      </c>
      <c r="K18" s="4">
        <v>0.35</v>
      </c>
      <c r="L18" s="4">
        <v>0.45</v>
      </c>
      <c r="M18" s="4">
        <v>0.51</v>
      </c>
      <c r="N18" s="4">
        <v>0.45</v>
      </c>
      <c r="O18" s="1">
        <f t="shared" si="2"/>
        <v>4.5200000000000006E-3</v>
      </c>
      <c r="P18" s="1">
        <f t="shared" si="0"/>
        <v>4.3919117578668281E-2</v>
      </c>
      <c r="Q18" s="1">
        <f t="shared" si="1"/>
        <v>4.3919117578668281E-4</v>
      </c>
    </row>
    <row r="19" spans="1:17" ht="15.75" customHeight="1" x14ac:dyDescent="0.35">
      <c r="A19" s="2" t="s">
        <v>38</v>
      </c>
      <c r="B19" s="3" t="s">
        <v>39</v>
      </c>
      <c r="C19" s="4">
        <v>4.4800000000000005E-3</v>
      </c>
      <c r="D19" s="4">
        <v>1.3480850616089972E-3</v>
      </c>
      <c r="E19" s="4">
        <v>0.46</v>
      </c>
      <c r="F19" s="4">
        <v>0.45</v>
      </c>
      <c r="G19" s="4">
        <v>0.48</v>
      </c>
      <c r="H19" s="4">
        <v>0.44</v>
      </c>
      <c r="I19" s="4">
        <v>0.31</v>
      </c>
      <c r="J19" s="4">
        <v>0.25</v>
      </c>
      <c r="K19" s="4">
        <v>0.44</v>
      </c>
      <c r="L19" s="4">
        <v>0.75</v>
      </c>
      <c r="M19" s="4">
        <v>0.37</v>
      </c>
      <c r="N19" s="4">
        <v>0.53</v>
      </c>
      <c r="O19" s="1">
        <f t="shared" si="2"/>
        <v>4.4800000000000005E-3</v>
      </c>
      <c r="P19" s="1">
        <f t="shared" si="0"/>
        <v>0.13480850616089968</v>
      </c>
      <c r="Q19" s="1">
        <f t="shared" si="1"/>
        <v>1.3480850616089967E-3</v>
      </c>
    </row>
    <row r="20" spans="1:17" ht="15.75" customHeight="1" x14ac:dyDescent="0.35">
      <c r="A20" s="2" t="s">
        <v>40</v>
      </c>
      <c r="B20" s="3" t="s">
        <v>41</v>
      </c>
      <c r="C20" s="4">
        <v>4.2500000000000003E-3</v>
      </c>
      <c r="D20" s="4">
        <v>4.1163630117428213E-4</v>
      </c>
      <c r="E20" s="4">
        <v>0.4</v>
      </c>
      <c r="F20" s="4">
        <v>0.42</v>
      </c>
      <c r="G20" s="4">
        <v>0.4</v>
      </c>
      <c r="H20" s="4">
        <v>0.42</v>
      </c>
      <c r="I20" s="4">
        <v>0.46</v>
      </c>
      <c r="J20" s="4">
        <v>0.35</v>
      </c>
      <c r="K20" s="4">
        <v>0.44</v>
      </c>
      <c r="L20" s="4">
        <v>0.4</v>
      </c>
      <c r="M20" s="4">
        <v>0.49</v>
      </c>
      <c r="N20" s="4">
        <v>0.47</v>
      </c>
      <c r="O20" s="1">
        <f t="shared" si="2"/>
        <v>4.2500000000000003E-3</v>
      </c>
      <c r="P20" s="1">
        <f t="shared" si="0"/>
        <v>4.1163630117428227E-2</v>
      </c>
      <c r="Q20" s="1">
        <f t="shared" si="1"/>
        <v>4.1163630117428229E-4</v>
      </c>
    </row>
    <row r="21" spans="1:17" ht="15.75" customHeight="1" x14ac:dyDescent="0.35">
      <c r="A21" s="2" t="s">
        <v>42</v>
      </c>
      <c r="B21" s="3" t="s">
        <v>43</v>
      </c>
      <c r="C21" s="4">
        <v>3.0000000000000005E-3</v>
      </c>
      <c r="D21" s="4">
        <v>3.0912061651652346E-4</v>
      </c>
      <c r="E21" s="4">
        <v>0.33</v>
      </c>
      <c r="F21" s="4">
        <v>0.34</v>
      </c>
      <c r="G21" s="4">
        <v>0.32</v>
      </c>
      <c r="H21" s="4">
        <v>0.25</v>
      </c>
      <c r="I21" s="4">
        <v>0.28999999999999998</v>
      </c>
      <c r="J21" s="4">
        <v>0.26</v>
      </c>
      <c r="K21" s="4">
        <v>0.33</v>
      </c>
      <c r="L21" s="4">
        <v>0.28000000000000003</v>
      </c>
      <c r="M21" s="4">
        <v>0.28999999999999998</v>
      </c>
      <c r="N21" s="4">
        <v>0.31</v>
      </c>
      <c r="O21" s="1">
        <f t="shared" si="2"/>
        <v>3.0000000000000005E-3</v>
      </c>
      <c r="P21" s="1">
        <f t="shared" si="0"/>
        <v>3.0912061651652351E-2</v>
      </c>
      <c r="Q21" s="1">
        <f t="shared" si="1"/>
        <v>3.0912061651652351E-4</v>
      </c>
    </row>
    <row r="22" spans="1:17" ht="15.75" customHeight="1" x14ac:dyDescent="0.35">
      <c r="A22" s="2" t="s">
        <v>44</v>
      </c>
      <c r="B22" s="3" t="s">
        <v>45</v>
      </c>
      <c r="C22" s="4">
        <v>2.3000000000000001E-4</v>
      </c>
      <c r="D22" s="4">
        <v>6.7494855771055285E-5</v>
      </c>
      <c r="E22" s="4">
        <v>0.03</v>
      </c>
      <c r="F22" s="4">
        <v>0.03</v>
      </c>
      <c r="G22" s="4">
        <v>0.02</v>
      </c>
      <c r="H22" s="4">
        <v>0.03</v>
      </c>
      <c r="I22" s="4">
        <v>0.02</v>
      </c>
      <c r="J22" s="4">
        <v>0.01</v>
      </c>
      <c r="K22" s="4">
        <v>0.02</v>
      </c>
      <c r="L22" s="4">
        <v>0.02</v>
      </c>
      <c r="M22" s="4">
        <v>0.02</v>
      </c>
      <c r="N22" s="4">
        <v>0.03</v>
      </c>
      <c r="O22" s="1">
        <f t="shared" si="2"/>
        <v>2.3000000000000001E-4</v>
      </c>
      <c r="P22" s="1">
        <f t="shared" si="0"/>
        <v>6.7494855771055417E-3</v>
      </c>
      <c r="Q22" s="1">
        <f t="shared" si="1"/>
        <v>6.749485577105542E-5</v>
      </c>
    </row>
    <row r="23" spans="1:17" ht="15.75" customHeight="1" x14ac:dyDescent="0.35">
      <c r="A23" s="2" t="s">
        <v>46</v>
      </c>
      <c r="B23" s="3" t="s">
        <v>47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1">
        <f t="shared" si="2"/>
        <v>0</v>
      </c>
      <c r="P23" s="1">
        <f t="shared" si="0"/>
        <v>0</v>
      </c>
      <c r="Q23" s="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Yu, Tony</cp:lastModifiedBy>
  <dcterms:modified xsi:type="dcterms:W3CDTF">2026-02-01T21:35:16Z</dcterms:modified>
</cp:coreProperties>
</file>